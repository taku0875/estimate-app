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入力" sheetId="2" state="visible" r:id="rId2"/>
    <sheet xmlns:r="http://schemas.openxmlformats.org/officeDocument/2006/relationships" name="見積書" sheetId="3" state="visible" r:id="rId3"/>
    <sheet xmlns:r="http://schemas.openxmlformats.org/officeDocument/2006/relationships" name="マスタ" sheetId="4" state="visible" r:id="rId4"/>
    <sheet xmlns:r="http://schemas.openxmlformats.org/officeDocument/2006/relationships" name="設定" sheetId="5" state="hidden" r:id="rId5"/>
  </sheets>
  <definedNames>
    <definedName name="_xlnm.Print_Titles" localSheetId="2">'見積書'!$3:$3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#,##0;[Red]-#,##0"/>
  </numFmts>
  <fonts count="17">
    <font>
      <name val="Calibri"/>
      <family val="2"/>
      <color theme="1"/>
      <sz val="11"/>
      <scheme val="minor"/>
    </font>
    <font>
      <name val="Yu Gothic UI"/>
      <b val="1"/>
      <color rgb="0017261E"/>
      <sz val="11"/>
    </font>
    <font>
      <name val="Yu Gothic UI"/>
      <b val="1"/>
      <color rgb="00FFFFFF"/>
      <sz val="11"/>
    </font>
    <font>
      <name val="Yu Gothic UI"/>
      <b val="1"/>
      <color rgb="00123524"/>
      <sz val="20"/>
    </font>
    <font>
      <name val="Yu Gothic UI"/>
      <color rgb="0066786D"/>
      <sz val="11"/>
    </font>
    <font>
      <name val="Yu Gothic UI"/>
      <b val="1"/>
      <color rgb="00FFFFFF"/>
      <sz val="13"/>
    </font>
    <font>
      <name val="Yu Gothic UI"/>
      <color rgb="0066786D"/>
      <sz val="10"/>
    </font>
    <font>
      <name val="Yu Gothic UI"/>
      <color rgb="0017261E"/>
      <sz val="11"/>
    </font>
    <font>
      <name val="Yu Gothic UI"/>
      <b val="1"/>
      <color rgb="0017844A"/>
      <sz val="11"/>
    </font>
    <font>
      <name val="Yu Gothic UI"/>
      <b val="1"/>
      <color rgb="000563C1"/>
      <sz val="12"/>
      <u val="single"/>
    </font>
    <font>
      <name val="ＭＳ 明朝"/>
      <b val="1"/>
      <color rgb="0017261E"/>
      <sz val="14"/>
    </font>
    <font>
      <name val="ＭＳ 明朝"/>
      <color rgb="0017261E"/>
      <sz val="11"/>
    </font>
    <font>
      <name val="ＭＳ 明朝"/>
      <b val="1"/>
      <color rgb="0017261E"/>
      <sz val="11"/>
    </font>
    <font>
      <name val="ＭＳ 明朝"/>
      <color rgb="0017261E"/>
      <sz val="10"/>
    </font>
    <font>
      <name val="ＭＳ 明朝"/>
      <b val="1"/>
      <color rgb="00C2410C"/>
      <sz val="10"/>
    </font>
    <font>
      <name val="Yu Gothic UI"/>
      <b val="1"/>
      <color rgb="0017844A"/>
      <sz val="16"/>
    </font>
    <font>
      <name val="Yu Gothic UI"/>
      <b val="1"/>
      <color rgb="0017844A"/>
      <sz val="13"/>
    </font>
  </fonts>
  <fills count="7">
    <fill>
      <patternFill/>
    </fill>
    <fill>
      <patternFill patternType="gray125"/>
    </fill>
    <fill>
      <patternFill patternType="solid">
        <fgColor rgb="00123524"/>
      </patternFill>
    </fill>
    <fill>
      <patternFill patternType="solid">
        <fgColor rgb="0017844A"/>
      </patternFill>
    </fill>
    <fill>
      <patternFill patternType="solid">
        <fgColor rgb="00EEF7F1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hair"/>
      <bottom style="hair"/>
    </border>
    <border>
      <left style="thin"/>
      <top style="hair"/>
      <bottom style="hair"/>
    </border>
    <border>
      <right style="thin"/>
      <top style="hair"/>
      <bottom style="hair"/>
    </border>
    <border>
      <bottom style="hair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15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7" fillId="0" borderId="9" applyAlignment="1" pivotButton="0" quotePrefix="0" xfId="0">
      <alignment vertical="center" wrapText="1"/>
    </xf>
    <xf numFmtId="0" fontId="16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1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164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7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4" fillId="0" borderId="0" applyAlignment="1" pivotButton="0" quotePrefix="0" xfId="0">
      <alignment horizontal="right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0" fontId="12" fillId="6" borderId="2" applyAlignment="1" pivotButton="0" quotePrefix="0" xfId="0">
      <alignment horizontal="center"/>
    </xf>
    <xf numFmtId="0" fontId="0" fillId="0" borderId="5" pivotButton="0" quotePrefix="0" xfId="0"/>
    <xf numFmtId="0" fontId="12" fillId="6" borderId="1" applyAlignment="1" pivotButton="0" quotePrefix="0" xfId="0">
      <alignment horizontal="center"/>
    </xf>
    <xf numFmtId="0" fontId="11" fillId="0" borderId="6" pivotButton="0" quotePrefix="0" xfId="0"/>
    <xf numFmtId="0" fontId="0" fillId="0" borderId="6" pivotButton="0" quotePrefix="0" xfId="0"/>
    <xf numFmtId="0" fontId="11" fillId="0" borderId="7" pivotButton="0" quotePrefix="0" xfId="0"/>
    <xf numFmtId="0" fontId="0" fillId="0" borderId="8" pivotButton="0" quotePrefix="0" xfId="0"/>
    <xf numFmtId="0" fontId="0" fillId="0" borderId="7" pivotButton="0" quotePrefix="0" xfId="0"/>
    <xf numFmtId="3" fontId="11" fillId="0" borderId="7" pivotButton="0" quotePrefix="0" xfId="0"/>
    <xf numFmtId="165" fontId="0" fillId="5" borderId="0" pivotButton="0" quotePrefix="0" xfId="0"/>
    <xf numFmtId="0" fontId="0" fillId="0" borderId="2" pivotButton="0" quotePrefix="0" xfId="0"/>
    <xf numFmtId="0" fontId="12" fillId="0" borderId="2" pivotButton="0" quotePrefix="0" xfId="0"/>
    <xf numFmtId="0" fontId="0" fillId="0" borderId="3" pivotButton="0" quotePrefix="0" xfId="0"/>
    <xf numFmtId="3" fontId="12" fillId="0" borderId="2" pivotButton="0" quotePrefix="0" xfId="0"/>
    <xf numFmtId="0" fontId="0" fillId="0" borderId="1" pivotButton="0" quotePrefix="0" xfId="0"/>
    <xf numFmtId="0" fontId="13" fillId="0" borderId="0" pivotButton="0" quotePrefix="0" xfId="0"/>
    <xf numFmtId="0" fontId="11" fillId="0" borderId="0" applyAlignment="1" pivotButton="0" quotePrefix="0" xfId="0">
      <alignment horizontal="center"/>
    </xf>
    <xf numFmtId="3" fontId="11" fillId="0" borderId="0" pivotButton="0" quotePrefix="0" xfId="0"/>
  </cellXfs>
  <cellStyles count="1">
    <cellStyle name="Normal" xfId="0" builtinId="0" hidden="0"/>
  </cellStyles>
  <dxfs count="8">
    <dxf>
      <font>
        <b val="1"/>
        <color rgb="0017844A"/>
      </font>
      <fill>
        <patternFill patternType="solid">
          <fgColor rgb="00EEF7F1"/>
          <bgColor rgb="00EEF7F1"/>
        </patternFill>
      </fill>
    </dxf>
    <dxf>
      <font>
        <color rgb="00999999"/>
      </font>
    </dxf>
    <dxf>
      <border>
        <left style="thin"/>
        <top style="hair"/>
        <bottom style="hair"/>
      </border>
    </dxf>
    <dxf>
      <border>
        <top style="hair"/>
        <bottom style="hair"/>
      </border>
    </dxf>
    <dxf>
      <border>
        <right style="thin"/>
        <top style="hair"/>
        <bottom style="hair"/>
      </border>
    </dxf>
    <dxf>
      <font>
        <b val="1"/>
      </font>
    </dxf>
    <dxf>
      <font>
        <b val="1"/>
      </font>
      <border>
        <left style="thin"/>
        <right style="thin"/>
        <top style="thin"/>
        <bottom style="thin"/>
      </border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524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</cols>
  <sheetData>
    <row r="1">
      <c r="A1" s="1" t="inlineStr">
        <is>
          <t>見積依頼書ジェネレーター（Excel版）</t>
        </is>
      </c>
    </row>
    <row r="2">
      <c r="A2" s="2" t="inlineStr">
        <is>
          <t>物件の情報を入れると、業者に渡す見積依頼書（単価欄は空欄）が自動でできあがります。マクロは使っていません。</t>
        </is>
      </c>
    </row>
    <row r="4">
      <c r="A4" s="3" t="inlineStr"/>
      <c r="B4" s="3" t="inlineStr">
        <is>
          <t>やること</t>
        </is>
      </c>
      <c r="C4" s="3" t="inlineStr">
        <is>
          <t>内容</t>
        </is>
      </c>
    </row>
    <row r="5" ht="34" customHeight="1">
      <c r="A5" s="4" t="inlineStr">
        <is>
          <t>1</t>
        </is>
      </c>
      <c r="B5" s="5" t="inlineStr">
        <is>
          <t>「入力」シートを開く</t>
        </is>
      </c>
      <c r="C5" s="6" t="inlineStr">
        <is>
          <t>STEP 1〜4 の黄色いセルに、お客様名・構造・階数・面積などを入れ、工事タイプを選びます。</t>
        </is>
      </c>
    </row>
    <row r="6" ht="34" customHeight="1">
      <c r="A6" s="4" t="inlineStr">
        <is>
          <t>2</t>
        </is>
      </c>
      <c r="B6" s="5" t="inlineStr">
        <is>
          <t>含める工事を確認する</t>
        </is>
      </c>
      <c r="C6" s="6" t="inlineStr">
        <is>
          <t>STEP 4 の表で、採用される工事が分かります。変えたいときだけ「手動で変更」に ○ か × を入れます。</t>
        </is>
      </c>
    </row>
    <row r="7" ht="34" customHeight="1">
      <c r="A7" s="4" t="inlineStr">
        <is>
          <t>3</t>
        </is>
      </c>
      <c r="B7" s="5" t="inlineStr">
        <is>
          <t>「見積書」シートで内訳を見る</t>
        </is>
      </c>
      <c r="C7" s="6" t="inlineStr">
        <is>
          <t>選んだ内容に合わせて、工事ごとの内訳と数量が自動で並びます。</t>
        </is>
      </c>
    </row>
    <row r="8" ht="34" customHeight="1">
      <c r="A8" s="4" t="inlineStr">
        <is>
          <t>4</t>
        </is>
      </c>
      <c r="B8" s="5" t="inlineStr">
        <is>
          <t>業者に送る</t>
        </is>
      </c>
      <c r="C8" s="6" t="inlineStr">
        <is>
          <t>ファイルを別名で保存して送ります。業者は「見積書」の黄色い欄（単価・摘要）に入力します。</t>
        </is>
      </c>
    </row>
    <row r="9" ht="34" customHeight="1">
      <c r="A9" s="4" t="inlineStr">
        <is>
          <t>5</t>
        </is>
      </c>
      <c r="B9" s="5" t="inlineStr">
        <is>
          <t>返ってきた見積書を見る</t>
        </is>
      </c>
      <c r="C9" s="6" t="inlineStr">
        <is>
          <t>業者が単価を入れると、金額・小計・合計が自動で計算されます。</t>
        </is>
      </c>
    </row>
    <row r="11">
      <c r="A11" s="7" t="inlineStr">
        <is>
          <t>シートの役割</t>
        </is>
      </c>
    </row>
    <row r="12" ht="30" customHeight="1">
      <c r="B12" s="8" t="inlineStr">
        <is>
          <t>入力</t>
        </is>
      </c>
      <c r="C12" s="9" t="inlineStr">
        <is>
          <t>自分で入力・選択するシートです。ふだん触るのはここだけです。</t>
        </is>
      </c>
    </row>
    <row r="13" ht="30" customHeight="1">
      <c r="B13" s="8" t="inlineStr">
        <is>
          <t>見積書</t>
        </is>
      </c>
      <c r="C13" s="9" t="inlineStr">
        <is>
          <t>業者に渡すシートです。内訳は自動で並びます。単価と摘要だけ業者が入力します。</t>
        </is>
      </c>
    </row>
    <row r="14" ht="30" customHeight="1">
      <c r="B14" s="8" t="inlineStr">
        <is>
          <t>マスタ</t>
        </is>
      </c>
      <c r="C14" s="9" t="inlineStr">
        <is>
          <t>全項目の一覧です。項目の名前や単位を直したいときに使います。灰色のタブは、ふだん触らなくて大丈夫です。</t>
        </is>
      </c>
    </row>
    <row r="16">
      <c r="A16" s="7" t="inlineStr">
        <is>
          <t>気をつけること</t>
        </is>
      </c>
    </row>
    <row r="17" ht="34" customHeight="1">
      <c r="B17" s="10" t="inlineStr">
        <is>
          <t>・業者に送ったあとは、自社のファイルの「入力」シートを変えないでください。内訳の行の位置がずれて、業者の単価とずれます。</t>
        </is>
      </c>
    </row>
    <row r="18" ht="34" customHeight="1">
      <c r="B18" s="10" t="inlineStr">
        <is>
          <t>・数式を含まない見積書にしたいときは、「見積書」シートを全選択してコピーし、新しいブックに「値と元の書式設定」で貼り付けます。</t>
        </is>
      </c>
    </row>
    <row r="19" ht="34" customHeight="1">
      <c r="B19" s="10" t="inlineStr">
        <is>
          <t>・項目を足したいときは、マスタの小計行（行種別 S）の上に行を挿入し、K〜N列の数式を上の行からコピーしてください。</t>
        </is>
      </c>
    </row>
    <row r="20" ht="34" customHeight="1">
      <c r="B20" s="10" t="inlineStr">
        <is>
          <t>・「設定」シートは非表示です。工事タイプの中身を変えるときは、シートのタブを右クリック →「再表示」で開けます。</t>
        </is>
      </c>
    </row>
    <row r="22">
      <c r="A22" s="11" t="inlineStr">
        <is>
          <t>元のフォーマット（リフォーム・リノベーション工事見積書）の体裁に合わせています。</t>
        </is>
      </c>
    </row>
  </sheetData>
  <mergeCells count="4">
    <mergeCell ref="B18:C18"/>
    <mergeCell ref="B19:C19"/>
    <mergeCell ref="B20:C20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844A"/>
    <outlinePr summaryBelow="1" summaryRight="1"/>
    <pageSetUpPr/>
  </sheetPr>
  <dimension ref="A1:D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62" customWidth="1" min="4" max="4"/>
  </cols>
  <sheetData>
    <row r="1">
      <c r="A1" s="1" t="inlineStr">
        <is>
          <t>見積依頼書ジェネレーター</t>
        </is>
      </c>
    </row>
    <row r="2">
      <c r="A2" s="2" t="inlineStr">
        <is>
          <t>STEP 1 → 5 の順に、黄色のセルへ入力・選択してください。（入力済みの内容は例です。上書きしてください）</t>
        </is>
      </c>
    </row>
    <row r="4" ht="24" customHeight="1">
      <c r="A4" s="12" t="inlineStr">
        <is>
          <t>STEP 1　物件の基本情報</t>
        </is>
      </c>
      <c r="B4" s="13" t="n"/>
      <c r="C4" s="13" t="n"/>
      <c r="D4" s="13" t="n"/>
    </row>
    <row r="5">
      <c r="A5" s="14" t="inlineStr">
        <is>
          <t>お客様名</t>
        </is>
      </c>
      <c r="B5" s="15" t="n"/>
      <c r="D5" s="16" t="inlineStr">
        <is>
          <t>例: 山田太郎　（「様邸」は自動で付きます）</t>
        </is>
      </c>
    </row>
    <row r="6">
      <c r="A6" s="14" t="inlineStr">
        <is>
          <t>工事名</t>
        </is>
      </c>
      <c r="B6" s="15" t="inlineStr">
        <is>
          <t>リノベーション工事</t>
        </is>
      </c>
      <c r="D6" s="16" t="inlineStr">
        <is>
          <t>例: リノベーション工事</t>
        </is>
      </c>
    </row>
    <row r="7">
      <c r="A7" s="14" t="inlineStr">
        <is>
          <t>物件所在地</t>
        </is>
      </c>
      <c r="B7" s="15" t="n"/>
    </row>
    <row r="8">
      <c r="A8" s="14" t="inlineStr">
        <is>
          <t>依頼元（自社名）</t>
        </is>
      </c>
      <c r="B8" s="15" t="n"/>
      <c r="D8" s="16" t="inlineStr">
        <is>
          <t>見積書の右上に表示されます</t>
        </is>
      </c>
    </row>
    <row r="9">
      <c r="A9" s="14" t="inlineStr">
        <is>
          <t>提出先（業者名）</t>
        </is>
      </c>
      <c r="B9" s="15" t="n"/>
      <c r="D9" s="16" t="inlineStr">
        <is>
          <t>「御中」は自動で付きます。業者ごとに変えて見積書を作ります</t>
        </is>
      </c>
    </row>
    <row r="10">
      <c r="A10" s="14" t="inlineStr">
        <is>
          <t>工事希望時期</t>
        </is>
      </c>
      <c r="B10" s="15" t="n"/>
      <c r="D10" s="16" t="inlineStr">
        <is>
          <t>例: 2026年12月〜</t>
        </is>
      </c>
    </row>
    <row r="11">
      <c r="A11" s="14" t="inlineStr">
        <is>
          <t>見積提出期限</t>
        </is>
      </c>
      <c r="B11" s="17" t="n"/>
      <c r="D11" s="16" t="inlineStr">
        <is>
          <t>日付を入力（例: 2026/11/30）</t>
        </is>
      </c>
    </row>
    <row r="12" ht="46" customHeight="1">
      <c r="A12" s="14" t="inlineStr">
        <is>
          <t>備考・特記事項</t>
        </is>
      </c>
      <c r="B12" s="15" t="n"/>
      <c r="D12" s="16" t="inlineStr">
        <is>
          <t>搬入経路、工事時間の制限など、業者に伝えたいこと</t>
        </is>
      </c>
    </row>
    <row r="14" ht="24" customHeight="1">
      <c r="A14" s="12" t="inlineStr">
        <is>
          <t>STEP 2　建物の条件を選ぶ</t>
        </is>
      </c>
      <c r="B14" s="13" t="n"/>
      <c r="C14" s="13" t="n"/>
      <c r="D14" s="13" t="n"/>
    </row>
    <row r="15">
      <c r="A15" s="11" t="inlineStr">
        <is>
          <t>▼ が出るセルは、一覧から選びます。</t>
        </is>
      </c>
    </row>
    <row r="16" ht="24" customHeight="1">
      <c r="A16" s="14" t="inlineStr">
        <is>
          <t>構造</t>
        </is>
      </c>
      <c r="B16" s="15" t="inlineStr">
        <is>
          <t>木造</t>
        </is>
      </c>
      <c r="D16" s="16" t="inlineStr">
        <is>
          <t>木造以外では、木工事の木材項目が外れ、下地の項目に切り替わります</t>
        </is>
      </c>
    </row>
    <row r="17" ht="24" customHeight="1">
      <c r="A17" s="14" t="inlineStr">
        <is>
          <t>階数</t>
        </is>
      </c>
      <c r="B17" s="15" t="inlineStr">
        <is>
          <t>2階建て</t>
        </is>
      </c>
      <c r="D17" s="16" t="inlineStr">
        <is>
          <t>選んだ階数に合わせて、2階・3階の項目だけが出ます</t>
        </is>
      </c>
    </row>
    <row r="18" ht="24" customHeight="1">
      <c r="A18" s="14" t="inlineStr">
        <is>
          <t>工事タイプ</t>
        </is>
      </c>
      <c r="B18" s="15" t="inlineStr">
        <is>
          <t>フルリノベーション</t>
        </is>
      </c>
      <c r="D18" s="16" t="inlineStr">
        <is>
          <t>選ぶと、含める工事がSTEP 4の表で自動で決まります</t>
        </is>
      </c>
    </row>
    <row r="20" ht="24" customHeight="1">
      <c r="A20" s="12" t="inlineStr">
        <is>
          <t>STEP 3　面積などの数値を入力</t>
        </is>
      </c>
      <c r="B20" s="13" t="n"/>
      <c r="C20" s="13" t="n"/>
      <c r="D20" s="13" t="n"/>
    </row>
    <row r="21">
      <c r="A21" s="14" t="inlineStr">
        <is>
          <t>1階床面積</t>
        </is>
      </c>
      <c r="B21" s="18" t="n">
        <v>63.6</v>
      </c>
      <c r="C21" s="11" t="inlineStr">
        <is>
          <t>㎡</t>
        </is>
      </c>
      <c r="D21" s="16" t="inlineStr">
        <is>
          <t>解体・木工事・防蟻・養生清掃などの数量に使います</t>
        </is>
      </c>
    </row>
    <row r="22">
      <c r="A22" s="14" t="inlineStr">
        <is>
          <t>2階床面積</t>
        </is>
      </c>
      <c r="B22" s="18" t="n">
        <v>33</v>
      </c>
      <c r="C22" s="11" t="inlineStr">
        <is>
          <t>㎡</t>
        </is>
      </c>
      <c r="D22" s="16" t="inlineStr">
        <is>
          <t>平屋のときは使いません</t>
        </is>
      </c>
    </row>
    <row r="23">
      <c r="A23" s="14" t="inlineStr">
        <is>
          <t>3階床面積</t>
        </is>
      </c>
      <c r="B23" s="18" t="n"/>
      <c r="C23" s="11" t="inlineStr">
        <is>
          <t>㎡</t>
        </is>
      </c>
      <c r="D23" s="16" t="inlineStr">
        <is>
          <t>3階建てのときだけ使います</t>
        </is>
      </c>
    </row>
    <row r="24">
      <c r="A24" s="14" t="inlineStr">
        <is>
          <t>屋根面積</t>
        </is>
      </c>
      <c r="B24" s="18" t="n">
        <v>83</v>
      </c>
      <c r="C24" s="11" t="inlineStr">
        <is>
          <t>㎡</t>
        </is>
      </c>
      <c r="D24" s="16" t="inlineStr">
        <is>
          <t>屋根板金工事の屋根葺き・防水シートに使います</t>
        </is>
      </c>
    </row>
    <row r="25">
      <c r="A25" s="14" t="inlineStr">
        <is>
          <t>外壁面積</t>
        </is>
      </c>
      <c r="B25" s="18" t="n">
        <v>123.3</v>
      </c>
      <c r="C25" s="11" t="inlineStr">
        <is>
          <t>㎡</t>
        </is>
      </c>
      <c r="D25" s="16" t="inlineStr">
        <is>
          <t>外壁の角波工事に使います</t>
        </is>
      </c>
    </row>
    <row r="26">
      <c r="A26" s="14" t="inlineStr">
        <is>
          <t>足場面積</t>
        </is>
      </c>
      <c r="B26" s="18" t="n">
        <v>360</v>
      </c>
      <c r="C26" s="11" t="inlineStr">
        <is>
          <t>㎡</t>
        </is>
      </c>
      <c r="D26" s="16" t="inlineStr">
        <is>
          <t>仮設足場・メッシュシートに使います（空欄なら外壁面積）</t>
        </is>
      </c>
    </row>
    <row r="27">
      <c r="A27" s="14" t="inlineStr">
        <is>
          <t>トイレの数</t>
        </is>
      </c>
      <c r="B27" s="18" t="n">
        <v>2</v>
      </c>
      <c r="C27" s="11" t="inlineStr">
        <is>
          <t>ヶ所</t>
        </is>
      </c>
      <c r="D27" s="16" t="inlineStr">
        <is>
          <t>トイレ解体の数量に使います</t>
        </is>
      </c>
    </row>
    <row r="28">
      <c r="A28" s="14" t="inlineStr">
        <is>
          <t>クロス貼りの延長</t>
        </is>
      </c>
      <c r="B28" s="18" t="n">
        <v>670</v>
      </c>
      <c r="C28" s="11" t="inlineStr">
        <is>
          <t>m</t>
        </is>
      </c>
      <c r="D28" s="16" t="inlineStr">
        <is>
          <t>クロス貼りの数量に使います</t>
        </is>
      </c>
    </row>
    <row r="29">
      <c r="A29" s="14" t="inlineStr">
        <is>
          <t>→ 延床面積（自動計算）</t>
        </is>
      </c>
      <c r="B29" s="19">
        <f>IF('設定'!$K$4="","（未入力）",'設定'!$K$4&amp;" ㎡（約 "&amp;'設定'!$K$5&amp;" 坪）")</f>
        <v/>
      </c>
      <c r="D29" s="11" t="inlineStr">
        <is>
          <t>選んだ階数の床面積の合計です</t>
        </is>
      </c>
    </row>
    <row r="31" ht="24" customHeight="1">
      <c r="A31" s="12" t="inlineStr">
        <is>
          <t>STEP 4　含める工事を確認する</t>
        </is>
      </c>
      <c r="B31" s="13" t="n"/>
      <c r="C31" s="13" t="n"/>
      <c r="D31" s="13" t="n"/>
    </row>
    <row r="32" ht="34" customHeight="1">
      <c r="A32" s="20" t="inlineStr">
        <is>
          <t>工事</t>
        </is>
      </c>
      <c r="B32" s="20" t="inlineStr">
        <is>
          <t>タイプでの初期値</t>
        </is>
      </c>
      <c r="C32" s="20" t="inlineStr">
        <is>
          <t>手動で変更（○=含める / ×=外す）</t>
        </is>
      </c>
      <c r="D32" s="20" t="inlineStr">
        <is>
          <t>結果（項目数）</t>
        </is>
      </c>
    </row>
    <row r="33" ht="21" customHeight="1">
      <c r="A33" s="21" t="inlineStr">
        <is>
          <t>解体工事</t>
        </is>
      </c>
      <c r="B33" s="22">
        <f>IF(INDEX('設定'!$C$23:$F$23,'設定'!$K$7)=1,"含める","—")</f>
        <v/>
      </c>
      <c r="C33" s="23" t="n"/>
      <c r="D33" s="21">
        <f>IF('設定'!G23=1,"採用（"&amp;COUNTIFS('マスタ'!$B$2:$B$246,1,'マスタ'!$A$2:$A$246,"I",'マスタ'!$L$2:$L$246,1)&amp;"項目）","除外")</f>
        <v/>
      </c>
    </row>
    <row r="34" ht="21" customHeight="1">
      <c r="A34" s="21" t="inlineStr">
        <is>
          <t>基礎工事</t>
        </is>
      </c>
      <c r="B34" s="22">
        <f>IF(INDEX('設定'!$C$24:$F$24,'設定'!$K$7)=1,"含める","—")</f>
        <v/>
      </c>
      <c r="C34" s="23" t="n"/>
      <c r="D34" s="21">
        <f>IF('設定'!G24=1,"採用（"&amp;COUNTIFS('マスタ'!$B$2:$B$246,2,'マスタ'!$A$2:$A$246,"I",'マスタ'!$L$2:$L$246,1)&amp;"項目）","除外")</f>
        <v/>
      </c>
    </row>
    <row r="35" ht="21" customHeight="1">
      <c r="A35" s="21" t="inlineStr">
        <is>
          <t>木工事</t>
        </is>
      </c>
      <c r="B35" s="22">
        <f>IF(INDEX('設定'!$C$25:$F$25,'設定'!$K$7)=1,"含める","—")</f>
        <v/>
      </c>
      <c r="C35" s="23" t="n"/>
      <c r="D35" s="21">
        <f>IF('設定'!G25=1,"採用（"&amp;COUNTIFS('マスタ'!$B$2:$B$246,3,'マスタ'!$A$2:$A$246,"I",'マスタ'!$L$2:$L$246,1)&amp;"項目）","除外")</f>
        <v/>
      </c>
    </row>
    <row r="36" ht="21" customHeight="1">
      <c r="A36" s="21" t="inlineStr">
        <is>
          <t>屋根板金工事</t>
        </is>
      </c>
      <c r="B36" s="22">
        <f>IF(INDEX('設定'!$C$26:$F$26,'設定'!$K$7)=1,"含める","—")</f>
        <v/>
      </c>
      <c r="C36" s="23" t="n"/>
      <c r="D36" s="21">
        <f>IF('設定'!G26=1,"採用（"&amp;COUNTIFS('マスタ'!$B$2:$B$246,4,'マスタ'!$A$2:$A$246,"I",'マスタ'!$L$2:$L$246,1)&amp;"項目）","除外")</f>
        <v/>
      </c>
    </row>
    <row r="37" ht="21" customHeight="1">
      <c r="A37" s="21" t="inlineStr">
        <is>
          <t>内外装工事</t>
        </is>
      </c>
      <c r="B37" s="22">
        <f>IF(INDEX('設定'!$C$27:$F$27,'設定'!$K$7)=1,"含める","—")</f>
        <v/>
      </c>
      <c r="C37" s="23" t="n"/>
      <c r="D37" s="21">
        <f>IF('設定'!G27=1,"採用（"&amp;COUNTIFS('マスタ'!$B$2:$B$246,5,'マスタ'!$A$2:$A$246,"I",'マスタ'!$L$2:$L$246,1)&amp;"項目）","除外")</f>
        <v/>
      </c>
    </row>
    <row r="38" ht="21" customHeight="1">
      <c r="A38" s="21" t="inlineStr">
        <is>
          <t>鋼製建具工事</t>
        </is>
      </c>
      <c r="B38" s="22">
        <f>IF(INDEX('設定'!$C$28:$F$28,'設定'!$K$7)=1,"含める","—")</f>
        <v/>
      </c>
      <c r="C38" s="23" t="n"/>
      <c r="D38" s="21">
        <f>IF('設定'!G28=1,"採用（"&amp;COUNTIFS('マスタ'!$B$2:$B$246,6,'マスタ'!$A$2:$A$246,"I",'マスタ'!$L$2:$L$246,1)&amp;"項目）","除外")</f>
        <v/>
      </c>
    </row>
    <row r="39" ht="21" customHeight="1">
      <c r="A39" s="21" t="inlineStr">
        <is>
          <t>塗装工事</t>
        </is>
      </c>
      <c r="B39" s="22">
        <f>IF(INDEX('設定'!$C$29:$F$29,'設定'!$K$7)=1,"含める","—")</f>
        <v/>
      </c>
      <c r="C39" s="23" t="n"/>
      <c r="D39" s="21">
        <f>IF('設定'!G29=1,"採用（"&amp;COUNTIFS('マスタ'!$B$2:$B$246,7,'マスタ'!$A$2:$A$246,"I",'マスタ'!$L$2:$L$246,1)&amp;"項目）","除外")</f>
        <v/>
      </c>
    </row>
    <row r="40" ht="21" customHeight="1">
      <c r="A40" s="21" t="inlineStr">
        <is>
          <t>電気設備工事</t>
        </is>
      </c>
      <c r="B40" s="22">
        <f>IF(INDEX('設定'!$C$30:$F$30,'設定'!$K$7)=1,"含める","—")</f>
        <v/>
      </c>
      <c r="C40" s="23" t="n"/>
      <c r="D40" s="21">
        <f>IF('設定'!G30=1,"採用（"&amp;COUNTIFS('マスタ'!$B$2:$B$246,8,'マスタ'!$A$2:$A$246,"I",'マスタ'!$L$2:$L$246,1)&amp;"項目）","除外")</f>
        <v/>
      </c>
    </row>
    <row r="41" ht="21" customHeight="1">
      <c r="A41" s="21" t="inlineStr">
        <is>
          <t>給排水設備工事</t>
        </is>
      </c>
      <c r="B41" s="22">
        <f>IF(INDEX('設定'!$C$31:$F$31,'設定'!$K$7)=1,"含める","—")</f>
        <v/>
      </c>
      <c r="C41" s="23" t="n"/>
      <c r="D41" s="21">
        <f>IF('設定'!G31=1,"採用（"&amp;COUNTIFS('マスタ'!$B$2:$B$246,9,'マスタ'!$A$2:$A$246,"I",'マスタ'!$L$2:$L$246,1)&amp;"項目）","除外")</f>
        <v/>
      </c>
    </row>
    <row r="42" ht="21" customHeight="1">
      <c r="A42" s="21" t="inlineStr">
        <is>
          <t>住宅設備工事</t>
        </is>
      </c>
      <c r="B42" s="22">
        <f>IF(INDEX('設定'!$C$32:$F$32,'設定'!$K$7)=1,"含める","—")</f>
        <v/>
      </c>
      <c r="C42" s="23" t="n"/>
      <c r="D42" s="21">
        <f>IF('設定'!G32=1,"採用（"&amp;COUNTIFS('マスタ'!$B$2:$B$246,10,'マスタ'!$A$2:$A$246,"I",'マスタ'!$L$2:$L$246,1)&amp;"項目）","除外")</f>
        <v/>
      </c>
    </row>
    <row r="43" ht="21" customHeight="1">
      <c r="A43" s="21" t="inlineStr">
        <is>
          <t>仮設工事</t>
        </is>
      </c>
      <c r="B43" s="22">
        <f>IF(INDEX('設定'!$C$33:$F$33,'設定'!$K$7)=1,"含める","—")</f>
        <v/>
      </c>
      <c r="C43" s="23" t="n"/>
      <c r="D43" s="21">
        <f>IF('設定'!G33=1,"採用（"&amp;COUNTIFS('マスタ'!$B$2:$B$246,11,'マスタ'!$A$2:$A$246,"I",'マスタ'!$L$2:$L$246,1)&amp;"項目）","除外")</f>
        <v/>
      </c>
    </row>
    <row r="44" ht="21" customHeight="1">
      <c r="A44" s="21" t="inlineStr">
        <is>
          <t>諸経費</t>
        </is>
      </c>
      <c r="B44" s="22">
        <f>IF(INDEX('設定'!$C$34:$F$34,'設定'!$K$7)=1,"含める","—")</f>
        <v/>
      </c>
      <c r="C44" s="23" t="n"/>
      <c r="D44" s="21">
        <f>IF('設定'!G34=1,"採用（"&amp;COUNTIFS('マスタ'!$B$2:$B$246,12,'マスタ'!$A$2:$A$246,"I",'マスタ'!$L$2:$L$246,1)&amp;"項目）","除外")</f>
        <v/>
      </c>
    </row>
    <row r="45">
      <c r="A45" s="24" t="inlineStr">
        <is>
          <t>現在の内訳</t>
        </is>
      </c>
      <c r="B45" s="24">
        <f>COUNTIF('設定'!$G$23:$G$34,1)&amp;"工事 / "&amp;COUNTIFS('マスタ'!$A$2:$A$246,"I",'マスタ'!$L$2:$L$246,1)&amp;"項目"</f>
        <v/>
      </c>
    </row>
    <row r="47" ht="24" customHeight="1">
      <c r="A47" s="12" t="inlineStr">
        <is>
          <t>STEP 5　見積書を確認して、業者へ送る</t>
        </is>
      </c>
      <c r="B47" s="13" t="n"/>
      <c r="C47" s="13" t="n"/>
      <c r="D47" s="13" t="n"/>
    </row>
    <row r="48">
      <c r="A48" s="25">
        <f>HYPERLINK("#'見積書'!A1","▶ 見積書シートを開く")</f>
        <v/>
      </c>
    </row>
    <row r="49">
      <c r="A49" s="26" t="inlineStr">
        <is>
          <t>・見積書シートに、内訳が自動で並んでいます。内容を確認してください。</t>
        </is>
      </c>
    </row>
    <row r="50">
      <c r="A50" s="26" t="inlineStr">
        <is>
          <t>・業者へ送るときは、このファイルを別名で保存して送ります。業者は「見積書」の黄色い欄（単価・摘要）だけ入力します。</t>
        </is>
      </c>
    </row>
    <row r="51">
      <c r="A51" s="26" t="inlineStr">
        <is>
          <t>・送ったあとは、このファイルの入力内容を変えないでください（行の位置がずれます）。</t>
        </is>
      </c>
    </row>
  </sheetData>
  <conditionalFormatting sqref="D33:D44">
    <cfRule type="expression" priority="1" dxfId="0">
      <formula>LEFT($D33,2)="採用"</formula>
    </cfRule>
    <cfRule type="expression" priority="2" dxfId="1">
      <formula>$D33="除外"</formula>
    </cfRule>
  </conditionalFormatting>
  <dataValidations count="4">
    <dataValidation sqref="B16" showDropDown="0" showInputMessage="1" showErrorMessage="0" allowBlank="0" promptTitle="構造" prompt="一覧から選びます" type="list">
      <formula1>'設定'!$A$2:$A$4</formula1>
    </dataValidation>
    <dataValidation sqref="B17" showDropDown="0" showInputMessage="1" showErrorMessage="0" allowBlank="0" promptTitle="階数" prompt="一覧から選びます" type="list">
      <formula1>'設定'!$D$2:$D$4</formula1>
    </dataValidation>
    <dataValidation sqref="B18" showDropDown="0" showInputMessage="1" showErrorMessage="0" allowBlank="0" promptTitle="工事タイプ" prompt="一覧から選びます" type="list">
      <formula1>'設定'!$G$2:$G$5</formula1>
    </dataValidation>
    <dataValidation sqref="C33:C44" showDropDown="0" showInputMessage="1" showErrorMessage="0" allowBlank="1" promptTitle="手動で変更" prompt="含めるなら ○、外すなら × を選びます。空欄ならタイプの初期値のままです" type="list">
      <formula1>"○,×"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N2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9" customWidth="1" min="4" max="4"/>
    <col width="2" customWidth="1" min="5" max="5"/>
    <col width="7" customWidth="1" min="6" max="6"/>
    <col width="14" customWidth="1" min="7" max="7"/>
    <col width="2" customWidth="1" min="8" max="8"/>
    <col width="16" customWidth="1" min="9" max="9"/>
    <col width="2" customWidth="1" min="10" max="10"/>
    <col width="28" customWidth="1" min="11" max="11"/>
    <col hidden="1" outlineLevel="1" width="13" customWidth="1" min="12" max="14"/>
  </cols>
  <sheetData>
    <row r="1">
      <c r="B1" s="27">
        <f>IF('入力'!B5="","お名前",'入力'!B5)&amp;" 様邸"&amp;'入力'!B6&amp;" 見積書"</f>
        <v/>
      </c>
      <c r="G1" s="28" t="inlineStr">
        <is>
          <t>※ 黄色の欄（単価・摘要）をご記入ください</t>
        </is>
      </c>
    </row>
    <row r="2">
      <c r="B2" s="29">
        <f>IF('入力'!B9="","",'入力'!B9&amp;" 御中")</f>
        <v/>
      </c>
      <c r="G2" s="30">
        <f>'入力'!B8&amp;""</f>
        <v/>
      </c>
    </row>
    <row r="3">
      <c r="A3" s="31" t="inlineStr">
        <is>
          <t>No.</t>
        </is>
      </c>
      <c r="B3" s="31" t="inlineStr">
        <is>
          <t>名　　　称</t>
        </is>
      </c>
      <c r="C3" s="31" t="inlineStr">
        <is>
          <t>仕　　　様</t>
        </is>
      </c>
      <c r="D3" s="31" t="inlineStr">
        <is>
          <t>数量</t>
        </is>
      </c>
      <c r="E3" s="32" t="n"/>
      <c r="F3" s="31" t="inlineStr">
        <is>
          <t>単位</t>
        </is>
      </c>
      <c r="G3" s="31" t="inlineStr">
        <is>
          <t>単　価</t>
        </is>
      </c>
      <c r="H3" s="32" t="n"/>
      <c r="I3" s="31" t="inlineStr">
        <is>
          <t>金　額</t>
        </is>
      </c>
      <c r="J3" s="32" t="n"/>
      <c r="K3" s="33" t="inlineStr">
        <is>
          <t>摘　要</t>
        </is>
      </c>
    </row>
    <row r="4">
      <c r="A4" s="29" t="inlineStr">
        <is>
          <t>（内　訳　明　細）</t>
        </is>
      </c>
    </row>
    <row r="5">
      <c r="A5" s="34">
        <f>IF(N5="","",1)</f>
        <v/>
      </c>
      <c r="B5" s="34">
        <f>IF(N5="","",INDEX('設定'!$B$23:$B$34,N5))</f>
        <v/>
      </c>
      <c r="C5" s="35" t="n"/>
      <c r="D5" s="36">
        <f>IF(N5="","",1)</f>
        <v/>
      </c>
      <c r="E5" s="37" t="n"/>
      <c r="F5" s="34">
        <f>IF(N5="","","式")</f>
        <v/>
      </c>
      <c r="G5" s="38" t="n"/>
      <c r="H5" s="37" t="n"/>
      <c r="I5" s="39">
        <f>IF(N5="","",SUMIFS(I$24:I$274,N$24:N$274,N5,M$24:M$274,"S"))</f>
        <v/>
      </c>
      <c r="J5" s="37" t="n"/>
      <c r="K5" s="35" t="n"/>
      <c r="N5">
        <f>IFERROR(MATCH(1,'設定'!$H$23:$H$34,0),"")</f>
        <v/>
      </c>
    </row>
    <row r="6">
      <c r="A6" s="34">
        <f>IF(N6="","",2)</f>
        <v/>
      </c>
      <c r="B6" s="34">
        <f>IF(N6="","",INDEX('設定'!$B$23:$B$34,N6))</f>
        <v/>
      </c>
      <c r="C6" s="35" t="n"/>
      <c r="D6" s="36">
        <f>IF(N6="","",1)</f>
        <v/>
      </c>
      <c r="E6" s="37" t="n"/>
      <c r="F6" s="34">
        <f>IF(N6="","","式")</f>
        <v/>
      </c>
      <c r="G6" s="38" t="n"/>
      <c r="H6" s="37" t="n"/>
      <c r="I6" s="39">
        <f>IF(N6="","",SUMIFS(I$24:I$274,N$24:N$274,N6,M$24:M$274,"S"))</f>
        <v/>
      </c>
      <c r="J6" s="37" t="n"/>
      <c r="K6" s="35" t="n"/>
      <c r="N6">
        <f>IFERROR(MATCH(2,'設定'!$H$23:$H$34,0),"")</f>
        <v/>
      </c>
    </row>
    <row r="7">
      <c r="A7" s="34">
        <f>IF(N7="","",3)</f>
        <v/>
      </c>
      <c r="B7" s="34">
        <f>IF(N7="","",INDEX('設定'!$B$23:$B$34,N7))</f>
        <v/>
      </c>
      <c r="C7" s="35" t="n"/>
      <c r="D7" s="36">
        <f>IF(N7="","",1)</f>
        <v/>
      </c>
      <c r="E7" s="37" t="n"/>
      <c r="F7" s="34">
        <f>IF(N7="","","式")</f>
        <v/>
      </c>
      <c r="G7" s="38" t="n"/>
      <c r="H7" s="37" t="n"/>
      <c r="I7" s="39">
        <f>IF(N7="","",SUMIFS(I$24:I$274,N$24:N$274,N7,M$24:M$274,"S"))</f>
        <v/>
      </c>
      <c r="J7" s="37" t="n"/>
      <c r="K7" s="35" t="n"/>
      <c r="N7">
        <f>IFERROR(MATCH(3,'設定'!$H$23:$H$34,0),"")</f>
        <v/>
      </c>
    </row>
    <row r="8">
      <c r="A8" s="34">
        <f>IF(N8="","",4)</f>
        <v/>
      </c>
      <c r="B8" s="34">
        <f>IF(N8="","",INDEX('設定'!$B$23:$B$34,N8))</f>
        <v/>
      </c>
      <c r="C8" s="35" t="n"/>
      <c r="D8" s="36">
        <f>IF(N8="","",1)</f>
        <v/>
      </c>
      <c r="E8" s="37" t="n"/>
      <c r="F8" s="34">
        <f>IF(N8="","","式")</f>
        <v/>
      </c>
      <c r="G8" s="38" t="n"/>
      <c r="H8" s="37" t="n"/>
      <c r="I8" s="39">
        <f>IF(N8="","",SUMIFS(I$24:I$274,N$24:N$274,N8,M$24:M$274,"S"))</f>
        <v/>
      </c>
      <c r="J8" s="37" t="n"/>
      <c r="K8" s="35" t="n"/>
      <c r="N8">
        <f>IFERROR(MATCH(4,'設定'!$H$23:$H$34,0),"")</f>
        <v/>
      </c>
    </row>
    <row r="9">
      <c r="A9" s="34">
        <f>IF(N9="","",5)</f>
        <v/>
      </c>
      <c r="B9" s="34">
        <f>IF(N9="","",INDEX('設定'!$B$23:$B$34,N9))</f>
        <v/>
      </c>
      <c r="C9" s="35" t="n"/>
      <c r="D9" s="36">
        <f>IF(N9="","",1)</f>
        <v/>
      </c>
      <c r="E9" s="37" t="n"/>
      <c r="F9" s="34">
        <f>IF(N9="","","式")</f>
        <v/>
      </c>
      <c r="G9" s="38" t="n"/>
      <c r="H9" s="37" t="n"/>
      <c r="I9" s="39">
        <f>IF(N9="","",SUMIFS(I$24:I$274,N$24:N$274,N9,M$24:M$274,"S"))</f>
        <v/>
      </c>
      <c r="J9" s="37" t="n"/>
      <c r="K9" s="35" t="n"/>
      <c r="N9">
        <f>IFERROR(MATCH(5,'設定'!$H$23:$H$34,0),"")</f>
        <v/>
      </c>
    </row>
    <row r="10">
      <c r="A10" s="34">
        <f>IF(N10="","",6)</f>
        <v/>
      </c>
      <c r="B10" s="34">
        <f>IF(N10="","",INDEX('設定'!$B$23:$B$34,N10))</f>
        <v/>
      </c>
      <c r="C10" s="35" t="n"/>
      <c r="D10" s="36">
        <f>IF(N10="","",1)</f>
        <v/>
      </c>
      <c r="E10" s="37" t="n"/>
      <c r="F10" s="34">
        <f>IF(N10="","","式")</f>
        <v/>
      </c>
      <c r="G10" s="38" t="n"/>
      <c r="H10" s="37" t="n"/>
      <c r="I10" s="39">
        <f>IF(N10="","",SUMIFS(I$24:I$274,N$24:N$274,N10,M$24:M$274,"S"))</f>
        <v/>
      </c>
      <c r="J10" s="37" t="n"/>
      <c r="K10" s="35" t="n"/>
      <c r="N10">
        <f>IFERROR(MATCH(6,'設定'!$H$23:$H$34,0),"")</f>
        <v/>
      </c>
    </row>
    <row r="11">
      <c r="A11" s="34">
        <f>IF(N11="","",7)</f>
        <v/>
      </c>
      <c r="B11" s="34">
        <f>IF(N11="","",INDEX('設定'!$B$23:$B$34,N11))</f>
        <v/>
      </c>
      <c r="C11" s="35" t="n"/>
      <c r="D11" s="36">
        <f>IF(N11="","",1)</f>
        <v/>
      </c>
      <c r="E11" s="37" t="n"/>
      <c r="F11" s="34">
        <f>IF(N11="","","式")</f>
        <v/>
      </c>
      <c r="G11" s="38" t="n"/>
      <c r="H11" s="37" t="n"/>
      <c r="I11" s="39">
        <f>IF(N11="","",SUMIFS(I$24:I$274,N$24:N$274,N11,M$24:M$274,"S"))</f>
        <v/>
      </c>
      <c r="J11" s="37" t="n"/>
      <c r="K11" s="35" t="n"/>
      <c r="N11">
        <f>IFERROR(MATCH(7,'設定'!$H$23:$H$34,0),"")</f>
        <v/>
      </c>
    </row>
    <row r="12">
      <c r="A12" s="34">
        <f>IF(N12="","",8)</f>
        <v/>
      </c>
      <c r="B12" s="34">
        <f>IF(N12="","",INDEX('設定'!$B$23:$B$34,N12))</f>
        <v/>
      </c>
      <c r="C12" s="35" t="n"/>
      <c r="D12" s="36">
        <f>IF(N12="","",1)</f>
        <v/>
      </c>
      <c r="E12" s="37" t="n"/>
      <c r="F12" s="34">
        <f>IF(N12="","","式")</f>
        <v/>
      </c>
      <c r="G12" s="38" t="n"/>
      <c r="H12" s="37" t="n"/>
      <c r="I12" s="39">
        <f>IF(N12="","",SUMIFS(I$24:I$274,N$24:N$274,N12,M$24:M$274,"S"))</f>
        <v/>
      </c>
      <c r="J12" s="37" t="n"/>
      <c r="K12" s="35" t="n"/>
      <c r="N12">
        <f>IFERROR(MATCH(8,'設定'!$H$23:$H$34,0),"")</f>
        <v/>
      </c>
    </row>
    <row r="13">
      <c r="A13" s="34">
        <f>IF(N13="","",9)</f>
        <v/>
      </c>
      <c r="B13" s="34">
        <f>IF(N13="","",INDEX('設定'!$B$23:$B$34,N13))</f>
        <v/>
      </c>
      <c r="C13" s="35" t="n"/>
      <c r="D13" s="36">
        <f>IF(N13="","",1)</f>
        <v/>
      </c>
      <c r="E13" s="37" t="n"/>
      <c r="F13" s="34">
        <f>IF(N13="","","式")</f>
        <v/>
      </c>
      <c r="G13" s="38" t="n"/>
      <c r="H13" s="37" t="n"/>
      <c r="I13" s="39">
        <f>IF(N13="","",SUMIFS(I$24:I$274,N$24:N$274,N13,M$24:M$274,"S"))</f>
        <v/>
      </c>
      <c r="J13" s="37" t="n"/>
      <c r="K13" s="35" t="n"/>
      <c r="N13">
        <f>IFERROR(MATCH(9,'設定'!$H$23:$H$34,0),"")</f>
        <v/>
      </c>
    </row>
    <row r="14">
      <c r="A14" s="34">
        <f>IF(N14="","",10)</f>
        <v/>
      </c>
      <c r="B14" s="34">
        <f>IF(N14="","",INDEX('設定'!$B$23:$B$34,N14))</f>
        <v/>
      </c>
      <c r="C14" s="35" t="n"/>
      <c r="D14" s="36">
        <f>IF(N14="","",1)</f>
        <v/>
      </c>
      <c r="E14" s="37" t="n"/>
      <c r="F14" s="34">
        <f>IF(N14="","","式")</f>
        <v/>
      </c>
      <c r="G14" s="38" t="n"/>
      <c r="H14" s="37" t="n"/>
      <c r="I14" s="39">
        <f>IF(N14="","",SUMIFS(I$24:I$274,N$24:N$274,N14,M$24:M$274,"S"))</f>
        <v/>
      </c>
      <c r="J14" s="37" t="n"/>
      <c r="K14" s="35" t="n"/>
      <c r="N14">
        <f>IFERROR(MATCH(10,'設定'!$H$23:$H$34,0),"")</f>
        <v/>
      </c>
    </row>
    <row r="15">
      <c r="A15" s="34">
        <f>IF(N15="","",11)</f>
        <v/>
      </c>
      <c r="B15" s="34">
        <f>IF(N15="","",INDEX('設定'!$B$23:$B$34,N15))</f>
        <v/>
      </c>
      <c r="C15" s="35" t="n"/>
      <c r="D15" s="36">
        <f>IF(N15="","",1)</f>
        <v/>
      </c>
      <c r="E15" s="37" t="n"/>
      <c r="F15" s="34">
        <f>IF(N15="","","式")</f>
        <v/>
      </c>
      <c r="G15" s="38" t="n"/>
      <c r="H15" s="37" t="n"/>
      <c r="I15" s="39">
        <f>IF(N15="","",SUMIFS(I$24:I$274,N$24:N$274,N15,M$24:M$274,"S"))</f>
        <v/>
      </c>
      <c r="J15" s="37" t="n"/>
      <c r="K15" s="35" t="n"/>
      <c r="N15">
        <f>IFERROR(MATCH(11,'設定'!$H$23:$H$34,0),"")</f>
        <v/>
      </c>
    </row>
    <row r="16">
      <c r="A16" s="34">
        <f>IF(N16="","",12)</f>
        <v/>
      </c>
      <c r="B16" s="34">
        <f>IF(N16="","",INDEX('設定'!$B$23:$B$34,N16))</f>
        <v/>
      </c>
      <c r="C16" s="35" t="n"/>
      <c r="D16" s="36">
        <f>IF(N16="","",1)</f>
        <v/>
      </c>
      <c r="E16" s="37" t="n"/>
      <c r="F16" s="34">
        <f>IF(N16="","","式")</f>
        <v/>
      </c>
      <c r="G16" s="38" t="n"/>
      <c r="H16" s="37" t="n"/>
      <c r="I16" s="39">
        <f>IF(N16="","",SUMIFS(I$24:I$274,N$24:N$274,N16,M$24:M$274,"S"))</f>
        <v/>
      </c>
      <c r="J16" s="37" t="n"/>
      <c r="K16" s="35" t="n"/>
      <c r="N16">
        <f>IFERROR(MATCH(12,'設定'!$H$23:$H$34,0),"")</f>
        <v/>
      </c>
    </row>
    <row r="18">
      <c r="B18" s="29" t="inlineStr">
        <is>
          <t>調整費</t>
        </is>
      </c>
      <c r="I18" s="40" t="n"/>
    </row>
    <row r="20">
      <c r="A20" s="41" t="n"/>
      <c r="B20" s="42" t="inlineStr">
        <is>
          <t>合　計</t>
        </is>
      </c>
      <c r="C20" s="41" t="n"/>
      <c r="D20" s="41" t="n"/>
      <c r="E20" s="43" t="n"/>
      <c r="F20" s="41" t="n"/>
      <c r="G20" s="41" t="n"/>
      <c r="H20" s="43" t="n"/>
      <c r="I20" s="44">
        <f>SUM(I5:I16)+N(I18)</f>
        <v/>
      </c>
      <c r="J20" s="43" t="n"/>
      <c r="K20" s="45" t="n"/>
    </row>
    <row r="21">
      <c r="B21" s="46">
        <f>"構造: "&amp;'入力'!B16&amp;" / "&amp;'入力'!B17&amp;IF('設定'!$K$4="","",", 延床 "&amp;'設定'!$K$4&amp;"㎡（"&amp;'設定'!$K$5&amp;"坪）")&amp;IF('入力'!B11="","", " / 提出期限 "&amp;TEXT('入力'!B11,"yyyy/m/d"))</f>
        <v/>
      </c>
    </row>
    <row r="22">
      <c r="B22" s="46">
        <f>IF('入力'!B12="","","備考: "&amp;'入力'!B12)</f>
        <v/>
      </c>
    </row>
    <row r="23">
      <c r="A23" s="29" t="inlineStr">
        <is>
          <t>（内　訳　明　細）</t>
        </is>
      </c>
    </row>
    <row r="24">
      <c r="A24" s="29">
        <f>IF(M24="T",INDEX('設定'!$H$23:$H$34,N24),"")</f>
        <v/>
      </c>
      <c r="B24" s="29">
        <f>IF(OR(L24="",M24="B"),"",INDEX('マスタ'!$C$2:$C$246,L24))</f>
        <v/>
      </c>
      <c r="C24" s="29">
        <f>IF(M24="I",INDEX('マスタ'!$D$2:$D$246,L24)&amp;"","")</f>
        <v/>
      </c>
      <c r="D24" s="30">
        <f>IF(M24="I",INDEX('マスタ'!$M$2:$M$246,L24),"")</f>
        <v/>
      </c>
      <c r="F24" s="47">
        <f>IF(M24="I",INDEX('マスタ'!$F$2:$F$246,L24)&amp;"","")</f>
        <v/>
      </c>
      <c r="G24" s="48" t="n"/>
      <c r="I24" s="48">
        <f>IF(AND(M24="I",G24&lt;&gt;"",D24&lt;&gt;""),ROUND(D24*G24,0),"")</f>
        <v/>
      </c>
      <c r="K24" s="29" t="n"/>
      <c r="L24">
        <f>IFERROR(MATCH(1,'マスタ'!$N$2:$N$246,0),"")</f>
        <v/>
      </c>
      <c r="M24">
        <f>IF(L24="","",INDEX('マスタ'!$A$2:$A$246,L24))</f>
        <v/>
      </c>
      <c r="N24">
        <f>IF(L24="","",INDEX('マスタ'!$B$2:$B$246,L24))</f>
        <v/>
      </c>
    </row>
    <row r="25">
      <c r="A25" s="29">
        <f>IF(M25="T",INDEX('設定'!$H$23:$H$34,N25),"")</f>
        <v/>
      </c>
      <c r="B25" s="29">
        <f>IF(OR(L25="",M25="B"),"",INDEX('マスタ'!$C$2:$C$246,L25))</f>
        <v/>
      </c>
      <c r="C25" s="29">
        <f>IF(M25="I",INDEX('マスタ'!$D$2:$D$246,L25)&amp;"","")</f>
        <v/>
      </c>
      <c r="D25" s="30">
        <f>IF(M25="I",INDEX('マスタ'!$M$2:$M$246,L25),"")</f>
        <v/>
      </c>
      <c r="F25" s="47">
        <f>IF(M25="I",INDEX('マスタ'!$F$2:$F$246,L25)&amp;"","")</f>
        <v/>
      </c>
      <c r="G25" s="48" t="n"/>
      <c r="I25" s="48">
        <f>IF(M25="I",IF(OR(G25="",D25=""),"",ROUND(D25*G25,0)),IF(M25="S",SUMIFS(I$24:I24,N$24:N24,N25,M$24:M24,"I"),""))</f>
        <v/>
      </c>
      <c r="K25" s="29" t="n"/>
      <c r="L25">
        <f>IFERROR(MATCH(2,'マスタ'!$N$2:$N$246,0),"")</f>
        <v/>
      </c>
      <c r="M25">
        <f>IF(L25="","",INDEX('マスタ'!$A$2:$A$246,L25))</f>
        <v/>
      </c>
      <c r="N25">
        <f>IF(L25="","",INDEX('マスタ'!$B$2:$B$246,L25))</f>
        <v/>
      </c>
    </row>
    <row r="26">
      <c r="A26" s="29">
        <f>IF(M26="T",INDEX('設定'!$H$23:$H$34,N26),"")</f>
        <v/>
      </c>
      <c r="B26" s="29">
        <f>IF(OR(L26="",M26="B"),"",INDEX('マスタ'!$C$2:$C$246,L26))</f>
        <v/>
      </c>
      <c r="C26" s="29">
        <f>IF(M26="I",INDEX('マスタ'!$D$2:$D$246,L26)&amp;"","")</f>
        <v/>
      </c>
      <c r="D26" s="30">
        <f>IF(M26="I",INDEX('マスタ'!$M$2:$M$246,L26),"")</f>
        <v/>
      </c>
      <c r="F26" s="47">
        <f>IF(M26="I",INDEX('マスタ'!$F$2:$F$246,L26)&amp;"","")</f>
        <v/>
      </c>
      <c r="G26" s="48" t="n"/>
      <c r="I26" s="48">
        <f>IF(M26="I",IF(OR(G26="",D26=""),"",ROUND(D26*G26,0)),IF(M26="S",SUMIFS(I$24:I25,N$24:N25,N26,M$24:M25,"I"),""))</f>
        <v/>
      </c>
      <c r="K26" s="29" t="n"/>
      <c r="L26">
        <f>IFERROR(MATCH(3,'マスタ'!$N$2:$N$246,0),"")</f>
        <v/>
      </c>
      <c r="M26">
        <f>IF(L26="","",INDEX('マスタ'!$A$2:$A$246,L26))</f>
        <v/>
      </c>
      <c r="N26">
        <f>IF(L26="","",INDEX('マスタ'!$B$2:$B$246,L26))</f>
        <v/>
      </c>
    </row>
    <row r="27">
      <c r="A27" s="29">
        <f>IF(M27="T",INDEX('設定'!$H$23:$H$34,N27),"")</f>
        <v/>
      </c>
      <c r="B27" s="29">
        <f>IF(OR(L27="",M27="B"),"",INDEX('マスタ'!$C$2:$C$246,L27))</f>
        <v/>
      </c>
      <c r="C27" s="29">
        <f>IF(M27="I",INDEX('マスタ'!$D$2:$D$246,L27)&amp;"","")</f>
        <v/>
      </c>
      <c r="D27" s="30">
        <f>IF(M27="I",INDEX('マスタ'!$M$2:$M$246,L27),"")</f>
        <v/>
      </c>
      <c r="F27" s="47">
        <f>IF(M27="I",INDEX('マスタ'!$F$2:$F$246,L27)&amp;"","")</f>
        <v/>
      </c>
      <c r="G27" s="48" t="n"/>
      <c r="I27" s="48">
        <f>IF(M27="I",IF(OR(G27="",D27=""),"",ROUND(D27*G27,0)),IF(M27="S",SUMIFS(I$24:I26,N$24:N26,N27,M$24:M26,"I"),""))</f>
        <v/>
      </c>
      <c r="K27" s="29" t="n"/>
      <c r="L27">
        <f>IFERROR(MATCH(4,'マスタ'!$N$2:$N$246,0),"")</f>
        <v/>
      </c>
      <c r="M27">
        <f>IF(L27="","",INDEX('マスタ'!$A$2:$A$246,L27))</f>
        <v/>
      </c>
      <c r="N27">
        <f>IF(L27="","",INDEX('マスタ'!$B$2:$B$246,L27))</f>
        <v/>
      </c>
    </row>
    <row r="28">
      <c r="A28" s="29">
        <f>IF(M28="T",INDEX('設定'!$H$23:$H$34,N28),"")</f>
        <v/>
      </c>
      <c r="B28" s="29">
        <f>IF(OR(L28="",M28="B"),"",INDEX('マスタ'!$C$2:$C$246,L28))</f>
        <v/>
      </c>
      <c r="C28" s="29">
        <f>IF(M28="I",INDEX('マスタ'!$D$2:$D$246,L28)&amp;"","")</f>
        <v/>
      </c>
      <c r="D28" s="30">
        <f>IF(M28="I",INDEX('マスタ'!$M$2:$M$246,L28),"")</f>
        <v/>
      </c>
      <c r="F28" s="47">
        <f>IF(M28="I",INDEX('マスタ'!$F$2:$F$246,L28)&amp;"","")</f>
        <v/>
      </c>
      <c r="G28" s="48" t="n"/>
      <c r="I28" s="48">
        <f>IF(M28="I",IF(OR(G28="",D28=""),"",ROUND(D28*G28,0)),IF(M28="S",SUMIFS(I$24:I27,N$24:N27,N28,M$24:M27,"I"),""))</f>
        <v/>
      </c>
      <c r="K28" s="29" t="n"/>
      <c r="L28">
        <f>IFERROR(MATCH(5,'マスタ'!$N$2:$N$246,0),"")</f>
        <v/>
      </c>
      <c r="M28">
        <f>IF(L28="","",INDEX('マスタ'!$A$2:$A$246,L28))</f>
        <v/>
      </c>
      <c r="N28">
        <f>IF(L28="","",INDEX('マスタ'!$B$2:$B$246,L28))</f>
        <v/>
      </c>
    </row>
    <row r="29">
      <c r="A29" s="29">
        <f>IF(M29="T",INDEX('設定'!$H$23:$H$34,N29),"")</f>
        <v/>
      </c>
      <c r="B29" s="29">
        <f>IF(OR(L29="",M29="B"),"",INDEX('マスタ'!$C$2:$C$246,L29))</f>
        <v/>
      </c>
      <c r="C29" s="29">
        <f>IF(M29="I",INDEX('マスタ'!$D$2:$D$246,L29)&amp;"","")</f>
        <v/>
      </c>
      <c r="D29" s="30">
        <f>IF(M29="I",INDEX('マスタ'!$M$2:$M$246,L29),"")</f>
        <v/>
      </c>
      <c r="F29" s="47">
        <f>IF(M29="I",INDEX('マスタ'!$F$2:$F$246,L29)&amp;"","")</f>
        <v/>
      </c>
      <c r="G29" s="48" t="n"/>
      <c r="I29" s="48">
        <f>IF(M29="I",IF(OR(G29="",D29=""),"",ROUND(D29*G29,0)),IF(M29="S",SUMIFS(I$24:I28,N$24:N28,N29,M$24:M28,"I"),""))</f>
        <v/>
      </c>
      <c r="K29" s="29" t="n"/>
      <c r="L29">
        <f>IFERROR(MATCH(6,'マスタ'!$N$2:$N$246,0),"")</f>
        <v/>
      </c>
      <c r="M29">
        <f>IF(L29="","",INDEX('マスタ'!$A$2:$A$246,L29))</f>
        <v/>
      </c>
      <c r="N29">
        <f>IF(L29="","",INDEX('マスタ'!$B$2:$B$246,L29))</f>
        <v/>
      </c>
    </row>
    <row r="30">
      <c r="A30" s="29">
        <f>IF(M30="T",INDEX('設定'!$H$23:$H$34,N30),"")</f>
        <v/>
      </c>
      <c r="B30" s="29">
        <f>IF(OR(L30="",M30="B"),"",INDEX('マスタ'!$C$2:$C$246,L30))</f>
        <v/>
      </c>
      <c r="C30" s="29">
        <f>IF(M30="I",INDEX('マスタ'!$D$2:$D$246,L30)&amp;"","")</f>
        <v/>
      </c>
      <c r="D30" s="30">
        <f>IF(M30="I",INDEX('マスタ'!$M$2:$M$246,L30),"")</f>
        <v/>
      </c>
      <c r="F30" s="47">
        <f>IF(M30="I",INDEX('マスタ'!$F$2:$F$246,L30)&amp;"","")</f>
        <v/>
      </c>
      <c r="G30" s="48" t="n"/>
      <c r="I30" s="48">
        <f>IF(M30="I",IF(OR(G30="",D30=""),"",ROUND(D30*G30,0)),IF(M30="S",SUMIFS(I$24:I29,N$24:N29,N30,M$24:M29,"I"),""))</f>
        <v/>
      </c>
      <c r="K30" s="29" t="n"/>
      <c r="L30">
        <f>IFERROR(MATCH(7,'マスタ'!$N$2:$N$246,0),"")</f>
        <v/>
      </c>
      <c r="M30">
        <f>IF(L30="","",INDEX('マスタ'!$A$2:$A$246,L30))</f>
        <v/>
      </c>
      <c r="N30">
        <f>IF(L30="","",INDEX('マスタ'!$B$2:$B$246,L30))</f>
        <v/>
      </c>
    </row>
    <row r="31">
      <c r="A31" s="29">
        <f>IF(M31="T",INDEX('設定'!$H$23:$H$34,N31),"")</f>
        <v/>
      </c>
      <c r="B31" s="29">
        <f>IF(OR(L31="",M31="B"),"",INDEX('マスタ'!$C$2:$C$246,L31))</f>
        <v/>
      </c>
      <c r="C31" s="29">
        <f>IF(M31="I",INDEX('マスタ'!$D$2:$D$246,L31)&amp;"","")</f>
        <v/>
      </c>
      <c r="D31" s="30">
        <f>IF(M31="I",INDEX('マスタ'!$M$2:$M$246,L31),"")</f>
        <v/>
      </c>
      <c r="F31" s="47">
        <f>IF(M31="I",INDEX('マスタ'!$F$2:$F$246,L31)&amp;"","")</f>
        <v/>
      </c>
      <c r="G31" s="48" t="n"/>
      <c r="I31" s="48">
        <f>IF(M31="I",IF(OR(G31="",D31=""),"",ROUND(D31*G31,0)),IF(M31="S",SUMIFS(I$24:I30,N$24:N30,N31,M$24:M30,"I"),""))</f>
        <v/>
      </c>
      <c r="K31" s="29" t="n"/>
      <c r="L31">
        <f>IFERROR(MATCH(8,'マスタ'!$N$2:$N$246,0),"")</f>
        <v/>
      </c>
      <c r="M31">
        <f>IF(L31="","",INDEX('マスタ'!$A$2:$A$246,L31))</f>
        <v/>
      </c>
      <c r="N31">
        <f>IF(L31="","",INDEX('マスタ'!$B$2:$B$246,L31))</f>
        <v/>
      </c>
    </row>
    <row r="32">
      <c r="A32" s="29">
        <f>IF(M32="T",INDEX('設定'!$H$23:$H$34,N32),"")</f>
        <v/>
      </c>
      <c r="B32" s="29">
        <f>IF(OR(L32="",M32="B"),"",INDEX('マスタ'!$C$2:$C$246,L32))</f>
        <v/>
      </c>
      <c r="C32" s="29">
        <f>IF(M32="I",INDEX('マスタ'!$D$2:$D$246,L32)&amp;"","")</f>
        <v/>
      </c>
      <c r="D32" s="30">
        <f>IF(M32="I",INDEX('マスタ'!$M$2:$M$246,L32),"")</f>
        <v/>
      </c>
      <c r="F32" s="47">
        <f>IF(M32="I",INDEX('マスタ'!$F$2:$F$246,L32)&amp;"","")</f>
        <v/>
      </c>
      <c r="G32" s="48" t="n"/>
      <c r="I32" s="48">
        <f>IF(M32="I",IF(OR(G32="",D32=""),"",ROUND(D32*G32,0)),IF(M32="S",SUMIFS(I$24:I31,N$24:N31,N32,M$24:M31,"I"),""))</f>
        <v/>
      </c>
      <c r="K32" s="29" t="n"/>
      <c r="L32">
        <f>IFERROR(MATCH(9,'マスタ'!$N$2:$N$246,0),"")</f>
        <v/>
      </c>
      <c r="M32">
        <f>IF(L32="","",INDEX('マスタ'!$A$2:$A$246,L32))</f>
        <v/>
      </c>
      <c r="N32">
        <f>IF(L32="","",INDEX('マスタ'!$B$2:$B$246,L32))</f>
        <v/>
      </c>
    </row>
    <row r="33">
      <c r="A33" s="29">
        <f>IF(M33="T",INDEX('設定'!$H$23:$H$34,N33),"")</f>
        <v/>
      </c>
      <c r="B33" s="29">
        <f>IF(OR(L33="",M33="B"),"",INDEX('マスタ'!$C$2:$C$246,L33))</f>
        <v/>
      </c>
      <c r="C33" s="29">
        <f>IF(M33="I",INDEX('マスタ'!$D$2:$D$246,L33)&amp;"","")</f>
        <v/>
      </c>
      <c r="D33" s="30">
        <f>IF(M33="I",INDEX('マスタ'!$M$2:$M$246,L33),"")</f>
        <v/>
      </c>
      <c r="F33" s="47">
        <f>IF(M33="I",INDEX('マスタ'!$F$2:$F$246,L33)&amp;"","")</f>
        <v/>
      </c>
      <c r="G33" s="48" t="n"/>
      <c r="I33" s="48">
        <f>IF(M33="I",IF(OR(G33="",D33=""),"",ROUND(D33*G33,0)),IF(M33="S",SUMIFS(I$24:I32,N$24:N32,N33,M$24:M32,"I"),""))</f>
        <v/>
      </c>
      <c r="K33" s="29" t="n"/>
      <c r="L33">
        <f>IFERROR(MATCH(10,'マスタ'!$N$2:$N$246,0),"")</f>
        <v/>
      </c>
      <c r="M33">
        <f>IF(L33="","",INDEX('マスタ'!$A$2:$A$246,L33))</f>
        <v/>
      </c>
      <c r="N33">
        <f>IF(L33="","",INDEX('マスタ'!$B$2:$B$246,L33))</f>
        <v/>
      </c>
    </row>
    <row r="34">
      <c r="A34" s="29">
        <f>IF(M34="T",INDEX('設定'!$H$23:$H$34,N34),"")</f>
        <v/>
      </c>
      <c r="B34" s="29">
        <f>IF(OR(L34="",M34="B"),"",INDEX('マスタ'!$C$2:$C$246,L34))</f>
        <v/>
      </c>
      <c r="C34" s="29">
        <f>IF(M34="I",INDEX('マスタ'!$D$2:$D$246,L34)&amp;"","")</f>
        <v/>
      </c>
      <c r="D34" s="30">
        <f>IF(M34="I",INDEX('マスタ'!$M$2:$M$246,L34),"")</f>
        <v/>
      </c>
      <c r="F34" s="47">
        <f>IF(M34="I",INDEX('マスタ'!$F$2:$F$246,L34)&amp;"","")</f>
        <v/>
      </c>
      <c r="G34" s="48" t="n"/>
      <c r="I34" s="48">
        <f>IF(M34="I",IF(OR(G34="",D34=""),"",ROUND(D34*G34,0)),IF(M34="S",SUMIFS(I$24:I33,N$24:N33,N34,M$24:M33,"I"),""))</f>
        <v/>
      </c>
      <c r="K34" s="29" t="n"/>
      <c r="L34">
        <f>IFERROR(MATCH(11,'マスタ'!$N$2:$N$246,0),"")</f>
        <v/>
      </c>
      <c r="M34">
        <f>IF(L34="","",INDEX('マスタ'!$A$2:$A$246,L34))</f>
        <v/>
      </c>
      <c r="N34">
        <f>IF(L34="","",INDEX('マスタ'!$B$2:$B$246,L34))</f>
        <v/>
      </c>
    </row>
    <row r="35">
      <c r="A35" s="29">
        <f>IF(M35="T",INDEX('設定'!$H$23:$H$34,N35),"")</f>
        <v/>
      </c>
      <c r="B35" s="29">
        <f>IF(OR(L35="",M35="B"),"",INDEX('マスタ'!$C$2:$C$246,L35))</f>
        <v/>
      </c>
      <c r="C35" s="29">
        <f>IF(M35="I",INDEX('マスタ'!$D$2:$D$246,L35)&amp;"","")</f>
        <v/>
      </c>
      <c r="D35" s="30">
        <f>IF(M35="I",INDEX('マスタ'!$M$2:$M$246,L35),"")</f>
        <v/>
      </c>
      <c r="F35" s="47">
        <f>IF(M35="I",INDEX('マスタ'!$F$2:$F$246,L35)&amp;"","")</f>
        <v/>
      </c>
      <c r="G35" s="48" t="n"/>
      <c r="I35" s="48">
        <f>IF(M35="I",IF(OR(G35="",D35=""),"",ROUND(D35*G35,0)),IF(M35="S",SUMIFS(I$24:I34,N$24:N34,N35,M$24:M34,"I"),""))</f>
        <v/>
      </c>
      <c r="K35" s="29" t="n"/>
      <c r="L35">
        <f>IFERROR(MATCH(12,'マスタ'!$N$2:$N$246,0),"")</f>
        <v/>
      </c>
      <c r="M35">
        <f>IF(L35="","",INDEX('マスタ'!$A$2:$A$246,L35))</f>
        <v/>
      </c>
      <c r="N35">
        <f>IF(L35="","",INDEX('マスタ'!$B$2:$B$246,L35))</f>
        <v/>
      </c>
    </row>
    <row r="36">
      <c r="A36" s="29">
        <f>IF(M36="T",INDEX('設定'!$H$23:$H$34,N36),"")</f>
        <v/>
      </c>
      <c r="B36" s="29">
        <f>IF(OR(L36="",M36="B"),"",INDEX('マスタ'!$C$2:$C$246,L36))</f>
        <v/>
      </c>
      <c r="C36" s="29">
        <f>IF(M36="I",INDEX('マスタ'!$D$2:$D$246,L36)&amp;"","")</f>
        <v/>
      </c>
      <c r="D36" s="30">
        <f>IF(M36="I",INDEX('マスタ'!$M$2:$M$246,L36),"")</f>
        <v/>
      </c>
      <c r="F36" s="47">
        <f>IF(M36="I",INDEX('マスタ'!$F$2:$F$246,L36)&amp;"","")</f>
        <v/>
      </c>
      <c r="G36" s="48" t="n"/>
      <c r="I36" s="48">
        <f>IF(M36="I",IF(OR(G36="",D36=""),"",ROUND(D36*G36,0)),IF(M36="S",SUMIFS(I$24:I35,N$24:N35,N36,M$24:M35,"I"),""))</f>
        <v/>
      </c>
      <c r="K36" s="29" t="n"/>
      <c r="L36">
        <f>IFERROR(MATCH(13,'マスタ'!$N$2:$N$246,0),"")</f>
        <v/>
      </c>
      <c r="M36">
        <f>IF(L36="","",INDEX('マスタ'!$A$2:$A$246,L36))</f>
        <v/>
      </c>
      <c r="N36">
        <f>IF(L36="","",INDEX('マスタ'!$B$2:$B$246,L36))</f>
        <v/>
      </c>
    </row>
    <row r="37">
      <c r="A37" s="29">
        <f>IF(M37="T",INDEX('設定'!$H$23:$H$34,N37),"")</f>
        <v/>
      </c>
      <c r="B37" s="29">
        <f>IF(OR(L37="",M37="B"),"",INDEX('マスタ'!$C$2:$C$246,L37))</f>
        <v/>
      </c>
      <c r="C37" s="29">
        <f>IF(M37="I",INDEX('マスタ'!$D$2:$D$246,L37)&amp;"","")</f>
        <v/>
      </c>
      <c r="D37" s="30">
        <f>IF(M37="I",INDEX('マスタ'!$M$2:$M$246,L37),"")</f>
        <v/>
      </c>
      <c r="F37" s="47">
        <f>IF(M37="I",INDEX('マスタ'!$F$2:$F$246,L37)&amp;"","")</f>
        <v/>
      </c>
      <c r="G37" s="48" t="n"/>
      <c r="I37" s="48">
        <f>IF(M37="I",IF(OR(G37="",D37=""),"",ROUND(D37*G37,0)),IF(M37="S",SUMIFS(I$24:I36,N$24:N36,N37,M$24:M36,"I"),""))</f>
        <v/>
      </c>
      <c r="K37" s="29" t="n"/>
      <c r="L37">
        <f>IFERROR(MATCH(14,'マスタ'!$N$2:$N$246,0),"")</f>
        <v/>
      </c>
      <c r="M37">
        <f>IF(L37="","",INDEX('マスタ'!$A$2:$A$246,L37))</f>
        <v/>
      </c>
      <c r="N37">
        <f>IF(L37="","",INDEX('マスタ'!$B$2:$B$246,L37))</f>
        <v/>
      </c>
    </row>
    <row r="38">
      <c r="A38" s="29">
        <f>IF(M38="T",INDEX('設定'!$H$23:$H$34,N38),"")</f>
        <v/>
      </c>
      <c r="B38" s="29">
        <f>IF(OR(L38="",M38="B"),"",INDEX('マスタ'!$C$2:$C$246,L38))</f>
        <v/>
      </c>
      <c r="C38" s="29">
        <f>IF(M38="I",INDEX('マスタ'!$D$2:$D$246,L38)&amp;"","")</f>
        <v/>
      </c>
      <c r="D38" s="30">
        <f>IF(M38="I",INDEX('マスタ'!$M$2:$M$246,L38),"")</f>
        <v/>
      </c>
      <c r="F38" s="47">
        <f>IF(M38="I",INDEX('マスタ'!$F$2:$F$246,L38)&amp;"","")</f>
        <v/>
      </c>
      <c r="G38" s="48" t="n"/>
      <c r="I38" s="48">
        <f>IF(M38="I",IF(OR(G38="",D38=""),"",ROUND(D38*G38,0)),IF(M38="S",SUMIFS(I$24:I37,N$24:N37,N38,M$24:M37,"I"),""))</f>
        <v/>
      </c>
      <c r="K38" s="29" t="n"/>
      <c r="L38">
        <f>IFERROR(MATCH(15,'マスタ'!$N$2:$N$246,0),"")</f>
        <v/>
      </c>
      <c r="M38">
        <f>IF(L38="","",INDEX('マスタ'!$A$2:$A$246,L38))</f>
        <v/>
      </c>
      <c r="N38">
        <f>IF(L38="","",INDEX('マスタ'!$B$2:$B$246,L38))</f>
        <v/>
      </c>
    </row>
    <row r="39">
      <c r="A39" s="29">
        <f>IF(M39="T",INDEX('設定'!$H$23:$H$34,N39),"")</f>
        <v/>
      </c>
      <c r="B39" s="29">
        <f>IF(OR(L39="",M39="B"),"",INDEX('マスタ'!$C$2:$C$246,L39))</f>
        <v/>
      </c>
      <c r="C39" s="29">
        <f>IF(M39="I",INDEX('マスタ'!$D$2:$D$246,L39)&amp;"","")</f>
        <v/>
      </c>
      <c r="D39" s="30">
        <f>IF(M39="I",INDEX('マスタ'!$M$2:$M$246,L39),"")</f>
        <v/>
      </c>
      <c r="F39" s="47">
        <f>IF(M39="I",INDEX('マスタ'!$F$2:$F$246,L39)&amp;"","")</f>
        <v/>
      </c>
      <c r="G39" s="48" t="n"/>
      <c r="I39" s="48">
        <f>IF(M39="I",IF(OR(G39="",D39=""),"",ROUND(D39*G39,0)),IF(M39="S",SUMIFS(I$24:I38,N$24:N38,N39,M$24:M38,"I"),""))</f>
        <v/>
      </c>
      <c r="K39" s="29" t="n"/>
      <c r="L39">
        <f>IFERROR(MATCH(16,'マスタ'!$N$2:$N$246,0),"")</f>
        <v/>
      </c>
      <c r="M39">
        <f>IF(L39="","",INDEX('マスタ'!$A$2:$A$246,L39))</f>
        <v/>
      </c>
      <c r="N39">
        <f>IF(L39="","",INDEX('マスタ'!$B$2:$B$246,L39))</f>
        <v/>
      </c>
    </row>
    <row r="40">
      <c r="A40" s="29">
        <f>IF(M40="T",INDEX('設定'!$H$23:$H$34,N40),"")</f>
        <v/>
      </c>
      <c r="B40" s="29">
        <f>IF(OR(L40="",M40="B"),"",INDEX('マスタ'!$C$2:$C$246,L40))</f>
        <v/>
      </c>
      <c r="C40" s="29">
        <f>IF(M40="I",INDEX('マスタ'!$D$2:$D$246,L40)&amp;"","")</f>
        <v/>
      </c>
      <c r="D40" s="30">
        <f>IF(M40="I",INDEX('マスタ'!$M$2:$M$246,L40),"")</f>
        <v/>
      </c>
      <c r="F40" s="47">
        <f>IF(M40="I",INDEX('マスタ'!$F$2:$F$246,L40)&amp;"","")</f>
        <v/>
      </c>
      <c r="G40" s="48" t="n"/>
      <c r="I40" s="48">
        <f>IF(M40="I",IF(OR(G40="",D40=""),"",ROUND(D40*G40,0)),IF(M40="S",SUMIFS(I$24:I39,N$24:N39,N40,M$24:M39,"I"),""))</f>
        <v/>
      </c>
      <c r="K40" s="29" t="n"/>
      <c r="L40">
        <f>IFERROR(MATCH(17,'マスタ'!$N$2:$N$246,0),"")</f>
        <v/>
      </c>
      <c r="M40">
        <f>IF(L40="","",INDEX('マスタ'!$A$2:$A$246,L40))</f>
        <v/>
      </c>
      <c r="N40">
        <f>IF(L40="","",INDEX('マスタ'!$B$2:$B$246,L40))</f>
        <v/>
      </c>
    </row>
    <row r="41">
      <c r="A41" s="29">
        <f>IF(M41="T",INDEX('設定'!$H$23:$H$34,N41),"")</f>
        <v/>
      </c>
      <c r="B41" s="29">
        <f>IF(OR(L41="",M41="B"),"",INDEX('マスタ'!$C$2:$C$246,L41))</f>
        <v/>
      </c>
      <c r="C41" s="29">
        <f>IF(M41="I",INDEX('マスタ'!$D$2:$D$246,L41)&amp;"","")</f>
        <v/>
      </c>
      <c r="D41" s="30">
        <f>IF(M41="I",INDEX('マスタ'!$M$2:$M$246,L41),"")</f>
        <v/>
      </c>
      <c r="F41" s="47">
        <f>IF(M41="I",INDEX('マスタ'!$F$2:$F$246,L41)&amp;"","")</f>
        <v/>
      </c>
      <c r="G41" s="48" t="n"/>
      <c r="I41" s="48">
        <f>IF(M41="I",IF(OR(G41="",D41=""),"",ROUND(D41*G41,0)),IF(M41="S",SUMIFS(I$24:I40,N$24:N40,N41,M$24:M40,"I"),""))</f>
        <v/>
      </c>
      <c r="K41" s="29" t="n"/>
      <c r="L41">
        <f>IFERROR(MATCH(18,'マスタ'!$N$2:$N$246,0),"")</f>
        <v/>
      </c>
      <c r="M41">
        <f>IF(L41="","",INDEX('マスタ'!$A$2:$A$246,L41))</f>
        <v/>
      </c>
      <c r="N41">
        <f>IF(L41="","",INDEX('マスタ'!$B$2:$B$246,L41))</f>
        <v/>
      </c>
    </row>
    <row r="42">
      <c r="A42" s="29">
        <f>IF(M42="T",INDEX('設定'!$H$23:$H$34,N42),"")</f>
        <v/>
      </c>
      <c r="B42" s="29">
        <f>IF(OR(L42="",M42="B"),"",INDEX('マスタ'!$C$2:$C$246,L42))</f>
        <v/>
      </c>
      <c r="C42" s="29">
        <f>IF(M42="I",INDEX('マスタ'!$D$2:$D$246,L42)&amp;"","")</f>
        <v/>
      </c>
      <c r="D42" s="30">
        <f>IF(M42="I",INDEX('マスタ'!$M$2:$M$246,L42),"")</f>
        <v/>
      </c>
      <c r="F42" s="47">
        <f>IF(M42="I",INDEX('マスタ'!$F$2:$F$246,L42)&amp;"","")</f>
        <v/>
      </c>
      <c r="G42" s="48" t="n"/>
      <c r="I42" s="48">
        <f>IF(M42="I",IF(OR(G42="",D42=""),"",ROUND(D42*G42,0)),IF(M42="S",SUMIFS(I$24:I41,N$24:N41,N42,M$24:M41,"I"),""))</f>
        <v/>
      </c>
      <c r="K42" s="29" t="n"/>
      <c r="L42">
        <f>IFERROR(MATCH(19,'マスタ'!$N$2:$N$246,0),"")</f>
        <v/>
      </c>
      <c r="M42">
        <f>IF(L42="","",INDEX('マスタ'!$A$2:$A$246,L42))</f>
        <v/>
      </c>
      <c r="N42">
        <f>IF(L42="","",INDEX('マスタ'!$B$2:$B$246,L42))</f>
        <v/>
      </c>
    </row>
    <row r="43">
      <c r="A43" s="29">
        <f>IF(M43="T",INDEX('設定'!$H$23:$H$34,N43),"")</f>
        <v/>
      </c>
      <c r="B43" s="29">
        <f>IF(OR(L43="",M43="B"),"",INDEX('マスタ'!$C$2:$C$246,L43))</f>
        <v/>
      </c>
      <c r="C43" s="29">
        <f>IF(M43="I",INDEX('マスタ'!$D$2:$D$246,L43)&amp;"","")</f>
        <v/>
      </c>
      <c r="D43" s="30">
        <f>IF(M43="I",INDEX('マスタ'!$M$2:$M$246,L43),"")</f>
        <v/>
      </c>
      <c r="F43" s="47">
        <f>IF(M43="I",INDEX('マスタ'!$F$2:$F$246,L43)&amp;"","")</f>
        <v/>
      </c>
      <c r="G43" s="48" t="n"/>
      <c r="I43" s="48">
        <f>IF(M43="I",IF(OR(G43="",D43=""),"",ROUND(D43*G43,0)),IF(M43="S",SUMIFS(I$24:I42,N$24:N42,N43,M$24:M42,"I"),""))</f>
        <v/>
      </c>
      <c r="K43" s="29" t="n"/>
      <c r="L43">
        <f>IFERROR(MATCH(20,'マスタ'!$N$2:$N$246,0),"")</f>
        <v/>
      </c>
      <c r="M43">
        <f>IF(L43="","",INDEX('マスタ'!$A$2:$A$246,L43))</f>
        <v/>
      </c>
      <c r="N43">
        <f>IF(L43="","",INDEX('マスタ'!$B$2:$B$246,L43))</f>
        <v/>
      </c>
    </row>
    <row r="44">
      <c r="A44" s="29">
        <f>IF(M44="T",INDEX('設定'!$H$23:$H$34,N44),"")</f>
        <v/>
      </c>
      <c r="B44" s="29">
        <f>IF(OR(L44="",M44="B"),"",INDEX('マスタ'!$C$2:$C$246,L44))</f>
        <v/>
      </c>
      <c r="C44" s="29">
        <f>IF(M44="I",INDEX('マスタ'!$D$2:$D$246,L44)&amp;"","")</f>
        <v/>
      </c>
      <c r="D44" s="30">
        <f>IF(M44="I",INDEX('マスタ'!$M$2:$M$246,L44),"")</f>
        <v/>
      </c>
      <c r="F44" s="47">
        <f>IF(M44="I",INDEX('マスタ'!$F$2:$F$246,L44)&amp;"","")</f>
        <v/>
      </c>
      <c r="G44" s="48" t="n"/>
      <c r="I44" s="48">
        <f>IF(M44="I",IF(OR(G44="",D44=""),"",ROUND(D44*G44,0)),IF(M44="S",SUMIFS(I$24:I43,N$24:N43,N44,M$24:M43,"I"),""))</f>
        <v/>
      </c>
      <c r="K44" s="29" t="n"/>
      <c r="L44">
        <f>IFERROR(MATCH(21,'マスタ'!$N$2:$N$246,0),"")</f>
        <v/>
      </c>
      <c r="M44">
        <f>IF(L44="","",INDEX('マスタ'!$A$2:$A$246,L44))</f>
        <v/>
      </c>
      <c r="N44">
        <f>IF(L44="","",INDEX('マスタ'!$B$2:$B$246,L44))</f>
        <v/>
      </c>
    </row>
    <row r="45">
      <c r="A45" s="29">
        <f>IF(M45="T",INDEX('設定'!$H$23:$H$34,N45),"")</f>
        <v/>
      </c>
      <c r="B45" s="29">
        <f>IF(OR(L45="",M45="B"),"",INDEX('マスタ'!$C$2:$C$246,L45))</f>
        <v/>
      </c>
      <c r="C45" s="29">
        <f>IF(M45="I",INDEX('マスタ'!$D$2:$D$246,L45)&amp;"","")</f>
        <v/>
      </c>
      <c r="D45" s="30">
        <f>IF(M45="I",INDEX('マスタ'!$M$2:$M$246,L45),"")</f>
        <v/>
      </c>
      <c r="F45" s="47">
        <f>IF(M45="I",INDEX('マスタ'!$F$2:$F$246,L45)&amp;"","")</f>
        <v/>
      </c>
      <c r="G45" s="48" t="n"/>
      <c r="I45" s="48">
        <f>IF(M45="I",IF(OR(G45="",D45=""),"",ROUND(D45*G45,0)),IF(M45="S",SUMIFS(I$24:I44,N$24:N44,N45,M$24:M44,"I"),""))</f>
        <v/>
      </c>
      <c r="K45" s="29" t="n"/>
      <c r="L45">
        <f>IFERROR(MATCH(22,'マスタ'!$N$2:$N$246,0),"")</f>
        <v/>
      </c>
      <c r="M45">
        <f>IF(L45="","",INDEX('マスタ'!$A$2:$A$246,L45))</f>
        <v/>
      </c>
      <c r="N45">
        <f>IF(L45="","",INDEX('マスタ'!$B$2:$B$246,L45))</f>
        <v/>
      </c>
    </row>
    <row r="46">
      <c r="A46" s="29">
        <f>IF(M46="T",INDEX('設定'!$H$23:$H$34,N46),"")</f>
        <v/>
      </c>
      <c r="B46" s="29">
        <f>IF(OR(L46="",M46="B"),"",INDEX('マスタ'!$C$2:$C$246,L46))</f>
        <v/>
      </c>
      <c r="C46" s="29">
        <f>IF(M46="I",INDEX('マスタ'!$D$2:$D$246,L46)&amp;"","")</f>
        <v/>
      </c>
      <c r="D46" s="30">
        <f>IF(M46="I",INDEX('マスタ'!$M$2:$M$246,L46),"")</f>
        <v/>
      </c>
      <c r="F46" s="47">
        <f>IF(M46="I",INDEX('マスタ'!$F$2:$F$246,L46)&amp;"","")</f>
        <v/>
      </c>
      <c r="G46" s="48" t="n"/>
      <c r="I46" s="48">
        <f>IF(M46="I",IF(OR(G46="",D46=""),"",ROUND(D46*G46,0)),IF(M46="S",SUMIFS(I$24:I45,N$24:N45,N46,M$24:M45,"I"),""))</f>
        <v/>
      </c>
      <c r="K46" s="29" t="n"/>
      <c r="L46">
        <f>IFERROR(MATCH(23,'マスタ'!$N$2:$N$246,0),"")</f>
        <v/>
      </c>
      <c r="M46">
        <f>IF(L46="","",INDEX('マスタ'!$A$2:$A$246,L46))</f>
        <v/>
      </c>
      <c r="N46">
        <f>IF(L46="","",INDEX('マスタ'!$B$2:$B$246,L46))</f>
        <v/>
      </c>
    </row>
    <row r="47">
      <c r="A47" s="29">
        <f>IF(M47="T",INDEX('設定'!$H$23:$H$34,N47),"")</f>
        <v/>
      </c>
      <c r="B47" s="29">
        <f>IF(OR(L47="",M47="B"),"",INDEX('マスタ'!$C$2:$C$246,L47))</f>
        <v/>
      </c>
      <c r="C47" s="29">
        <f>IF(M47="I",INDEX('マスタ'!$D$2:$D$246,L47)&amp;"","")</f>
        <v/>
      </c>
      <c r="D47" s="30">
        <f>IF(M47="I",INDEX('マスタ'!$M$2:$M$246,L47),"")</f>
        <v/>
      </c>
      <c r="F47" s="47">
        <f>IF(M47="I",INDEX('マスタ'!$F$2:$F$246,L47)&amp;"","")</f>
        <v/>
      </c>
      <c r="G47" s="48" t="n"/>
      <c r="I47" s="48">
        <f>IF(M47="I",IF(OR(G47="",D47=""),"",ROUND(D47*G47,0)),IF(M47="S",SUMIFS(I$24:I46,N$24:N46,N47,M$24:M46,"I"),""))</f>
        <v/>
      </c>
      <c r="K47" s="29" t="n"/>
      <c r="L47">
        <f>IFERROR(MATCH(24,'マスタ'!$N$2:$N$246,0),"")</f>
        <v/>
      </c>
      <c r="M47">
        <f>IF(L47="","",INDEX('マスタ'!$A$2:$A$246,L47))</f>
        <v/>
      </c>
      <c r="N47">
        <f>IF(L47="","",INDEX('マスタ'!$B$2:$B$246,L47))</f>
        <v/>
      </c>
    </row>
    <row r="48">
      <c r="A48" s="29">
        <f>IF(M48="T",INDEX('設定'!$H$23:$H$34,N48),"")</f>
        <v/>
      </c>
      <c r="B48" s="29">
        <f>IF(OR(L48="",M48="B"),"",INDEX('マスタ'!$C$2:$C$246,L48))</f>
        <v/>
      </c>
      <c r="C48" s="29">
        <f>IF(M48="I",INDEX('マスタ'!$D$2:$D$246,L48)&amp;"","")</f>
        <v/>
      </c>
      <c r="D48" s="30">
        <f>IF(M48="I",INDEX('マスタ'!$M$2:$M$246,L48),"")</f>
        <v/>
      </c>
      <c r="F48" s="47">
        <f>IF(M48="I",INDEX('マスタ'!$F$2:$F$246,L48)&amp;"","")</f>
        <v/>
      </c>
      <c r="G48" s="48" t="n"/>
      <c r="I48" s="48">
        <f>IF(M48="I",IF(OR(G48="",D48=""),"",ROUND(D48*G48,0)),IF(M48="S",SUMIFS(I$24:I47,N$24:N47,N48,M$24:M47,"I"),""))</f>
        <v/>
      </c>
      <c r="K48" s="29" t="n"/>
      <c r="L48">
        <f>IFERROR(MATCH(25,'マスタ'!$N$2:$N$246,0),"")</f>
        <v/>
      </c>
      <c r="M48">
        <f>IF(L48="","",INDEX('マスタ'!$A$2:$A$246,L48))</f>
        <v/>
      </c>
      <c r="N48">
        <f>IF(L48="","",INDEX('マスタ'!$B$2:$B$246,L48))</f>
        <v/>
      </c>
    </row>
    <row r="49">
      <c r="A49" s="29">
        <f>IF(M49="T",INDEX('設定'!$H$23:$H$34,N49),"")</f>
        <v/>
      </c>
      <c r="B49" s="29">
        <f>IF(OR(L49="",M49="B"),"",INDEX('マスタ'!$C$2:$C$246,L49))</f>
        <v/>
      </c>
      <c r="C49" s="29">
        <f>IF(M49="I",INDEX('マスタ'!$D$2:$D$246,L49)&amp;"","")</f>
        <v/>
      </c>
      <c r="D49" s="30">
        <f>IF(M49="I",INDEX('マスタ'!$M$2:$M$246,L49),"")</f>
        <v/>
      </c>
      <c r="F49" s="47">
        <f>IF(M49="I",INDEX('マスタ'!$F$2:$F$246,L49)&amp;"","")</f>
        <v/>
      </c>
      <c r="G49" s="48" t="n"/>
      <c r="I49" s="48">
        <f>IF(M49="I",IF(OR(G49="",D49=""),"",ROUND(D49*G49,0)),IF(M49="S",SUMIFS(I$24:I48,N$24:N48,N49,M$24:M48,"I"),""))</f>
        <v/>
      </c>
      <c r="K49" s="29" t="n"/>
      <c r="L49">
        <f>IFERROR(MATCH(26,'マスタ'!$N$2:$N$246,0),"")</f>
        <v/>
      </c>
      <c r="M49">
        <f>IF(L49="","",INDEX('マスタ'!$A$2:$A$246,L49))</f>
        <v/>
      </c>
      <c r="N49">
        <f>IF(L49="","",INDEX('マスタ'!$B$2:$B$246,L49))</f>
        <v/>
      </c>
    </row>
    <row r="50">
      <c r="A50" s="29">
        <f>IF(M50="T",INDEX('設定'!$H$23:$H$34,N50),"")</f>
        <v/>
      </c>
      <c r="B50" s="29">
        <f>IF(OR(L50="",M50="B"),"",INDEX('マスタ'!$C$2:$C$246,L50))</f>
        <v/>
      </c>
      <c r="C50" s="29">
        <f>IF(M50="I",INDEX('マスタ'!$D$2:$D$246,L50)&amp;"","")</f>
        <v/>
      </c>
      <c r="D50" s="30">
        <f>IF(M50="I",INDEX('マスタ'!$M$2:$M$246,L50),"")</f>
        <v/>
      </c>
      <c r="F50" s="47">
        <f>IF(M50="I",INDEX('マスタ'!$F$2:$F$246,L50)&amp;"","")</f>
        <v/>
      </c>
      <c r="G50" s="48" t="n"/>
      <c r="I50" s="48">
        <f>IF(M50="I",IF(OR(G50="",D50=""),"",ROUND(D50*G50,0)),IF(M50="S",SUMIFS(I$24:I49,N$24:N49,N50,M$24:M49,"I"),""))</f>
        <v/>
      </c>
      <c r="K50" s="29" t="n"/>
      <c r="L50">
        <f>IFERROR(MATCH(27,'マスタ'!$N$2:$N$246,0),"")</f>
        <v/>
      </c>
      <c r="M50">
        <f>IF(L50="","",INDEX('マスタ'!$A$2:$A$246,L50))</f>
        <v/>
      </c>
      <c r="N50">
        <f>IF(L50="","",INDEX('マスタ'!$B$2:$B$246,L50))</f>
        <v/>
      </c>
    </row>
    <row r="51">
      <c r="A51" s="29">
        <f>IF(M51="T",INDEX('設定'!$H$23:$H$34,N51),"")</f>
        <v/>
      </c>
      <c r="B51" s="29">
        <f>IF(OR(L51="",M51="B"),"",INDEX('マスタ'!$C$2:$C$246,L51))</f>
        <v/>
      </c>
      <c r="C51" s="29">
        <f>IF(M51="I",INDEX('マスタ'!$D$2:$D$246,L51)&amp;"","")</f>
        <v/>
      </c>
      <c r="D51" s="30">
        <f>IF(M51="I",INDEX('マスタ'!$M$2:$M$246,L51),"")</f>
        <v/>
      </c>
      <c r="F51" s="47">
        <f>IF(M51="I",INDEX('マスタ'!$F$2:$F$246,L51)&amp;"","")</f>
        <v/>
      </c>
      <c r="G51" s="48" t="n"/>
      <c r="I51" s="48">
        <f>IF(M51="I",IF(OR(G51="",D51=""),"",ROUND(D51*G51,0)),IF(M51="S",SUMIFS(I$24:I50,N$24:N50,N51,M$24:M50,"I"),""))</f>
        <v/>
      </c>
      <c r="K51" s="29" t="n"/>
      <c r="L51">
        <f>IFERROR(MATCH(28,'マスタ'!$N$2:$N$246,0),"")</f>
        <v/>
      </c>
      <c r="M51">
        <f>IF(L51="","",INDEX('マスタ'!$A$2:$A$246,L51))</f>
        <v/>
      </c>
      <c r="N51">
        <f>IF(L51="","",INDEX('マスタ'!$B$2:$B$246,L51))</f>
        <v/>
      </c>
    </row>
    <row r="52">
      <c r="A52" s="29">
        <f>IF(M52="T",INDEX('設定'!$H$23:$H$34,N52),"")</f>
        <v/>
      </c>
      <c r="B52" s="29">
        <f>IF(OR(L52="",M52="B"),"",INDEX('マスタ'!$C$2:$C$246,L52))</f>
        <v/>
      </c>
      <c r="C52" s="29">
        <f>IF(M52="I",INDEX('マスタ'!$D$2:$D$246,L52)&amp;"","")</f>
        <v/>
      </c>
      <c r="D52" s="30">
        <f>IF(M52="I",INDEX('マスタ'!$M$2:$M$246,L52),"")</f>
        <v/>
      </c>
      <c r="F52" s="47">
        <f>IF(M52="I",INDEX('マスタ'!$F$2:$F$246,L52)&amp;"","")</f>
        <v/>
      </c>
      <c r="G52" s="48" t="n"/>
      <c r="I52" s="48">
        <f>IF(M52="I",IF(OR(G52="",D52=""),"",ROUND(D52*G52,0)),IF(M52="S",SUMIFS(I$24:I51,N$24:N51,N52,M$24:M51,"I"),""))</f>
        <v/>
      </c>
      <c r="K52" s="29" t="n"/>
      <c r="L52">
        <f>IFERROR(MATCH(29,'マスタ'!$N$2:$N$246,0),"")</f>
        <v/>
      </c>
      <c r="M52">
        <f>IF(L52="","",INDEX('マスタ'!$A$2:$A$246,L52))</f>
        <v/>
      </c>
      <c r="N52">
        <f>IF(L52="","",INDEX('マスタ'!$B$2:$B$246,L52))</f>
        <v/>
      </c>
    </row>
    <row r="53">
      <c r="A53" s="29">
        <f>IF(M53="T",INDEX('設定'!$H$23:$H$34,N53),"")</f>
        <v/>
      </c>
      <c r="B53" s="29">
        <f>IF(OR(L53="",M53="B"),"",INDEX('マスタ'!$C$2:$C$246,L53))</f>
        <v/>
      </c>
      <c r="C53" s="29">
        <f>IF(M53="I",INDEX('マスタ'!$D$2:$D$246,L53)&amp;"","")</f>
        <v/>
      </c>
      <c r="D53" s="30">
        <f>IF(M53="I",INDEX('マスタ'!$M$2:$M$246,L53),"")</f>
        <v/>
      </c>
      <c r="F53" s="47">
        <f>IF(M53="I",INDEX('マスタ'!$F$2:$F$246,L53)&amp;"","")</f>
        <v/>
      </c>
      <c r="G53" s="48" t="n"/>
      <c r="I53" s="48">
        <f>IF(M53="I",IF(OR(G53="",D53=""),"",ROUND(D53*G53,0)),IF(M53="S",SUMIFS(I$24:I52,N$24:N52,N53,M$24:M52,"I"),""))</f>
        <v/>
      </c>
      <c r="K53" s="29" t="n"/>
      <c r="L53">
        <f>IFERROR(MATCH(30,'マスタ'!$N$2:$N$246,0),"")</f>
        <v/>
      </c>
      <c r="M53">
        <f>IF(L53="","",INDEX('マスタ'!$A$2:$A$246,L53))</f>
        <v/>
      </c>
      <c r="N53">
        <f>IF(L53="","",INDEX('マスタ'!$B$2:$B$246,L53))</f>
        <v/>
      </c>
    </row>
    <row r="54">
      <c r="A54" s="29">
        <f>IF(M54="T",INDEX('設定'!$H$23:$H$34,N54),"")</f>
        <v/>
      </c>
      <c r="B54" s="29">
        <f>IF(OR(L54="",M54="B"),"",INDEX('マスタ'!$C$2:$C$246,L54))</f>
        <v/>
      </c>
      <c r="C54" s="29">
        <f>IF(M54="I",INDEX('マスタ'!$D$2:$D$246,L54)&amp;"","")</f>
        <v/>
      </c>
      <c r="D54" s="30">
        <f>IF(M54="I",INDEX('マスタ'!$M$2:$M$246,L54),"")</f>
        <v/>
      </c>
      <c r="F54" s="47">
        <f>IF(M54="I",INDEX('マスタ'!$F$2:$F$246,L54)&amp;"","")</f>
        <v/>
      </c>
      <c r="G54" s="48" t="n"/>
      <c r="I54" s="48">
        <f>IF(M54="I",IF(OR(G54="",D54=""),"",ROUND(D54*G54,0)),IF(M54="S",SUMIFS(I$24:I53,N$24:N53,N54,M$24:M53,"I"),""))</f>
        <v/>
      </c>
      <c r="K54" s="29" t="n"/>
      <c r="L54">
        <f>IFERROR(MATCH(31,'マスタ'!$N$2:$N$246,0),"")</f>
        <v/>
      </c>
      <c r="M54">
        <f>IF(L54="","",INDEX('マスタ'!$A$2:$A$246,L54))</f>
        <v/>
      </c>
      <c r="N54">
        <f>IF(L54="","",INDEX('マスタ'!$B$2:$B$246,L54))</f>
        <v/>
      </c>
    </row>
    <row r="55">
      <c r="A55" s="29">
        <f>IF(M55="T",INDEX('設定'!$H$23:$H$34,N55),"")</f>
        <v/>
      </c>
      <c r="B55" s="29">
        <f>IF(OR(L55="",M55="B"),"",INDEX('マスタ'!$C$2:$C$246,L55))</f>
        <v/>
      </c>
      <c r="C55" s="29">
        <f>IF(M55="I",INDEX('マスタ'!$D$2:$D$246,L55)&amp;"","")</f>
        <v/>
      </c>
      <c r="D55" s="30">
        <f>IF(M55="I",INDEX('マスタ'!$M$2:$M$246,L55),"")</f>
        <v/>
      </c>
      <c r="F55" s="47">
        <f>IF(M55="I",INDEX('マスタ'!$F$2:$F$246,L55)&amp;"","")</f>
        <v/>
      </c>
      <c r="G55" s="48" t="n"/>
      <c r="I55" s="48">
        <f>IF(M55="I",IF(OR(G55="",D55=""),"",ROUND(D55*G55,0)),IF(M55="S",SUMIFS(I$24:I54,N$24:N54,N55,M$24:M54,"I"),""))</f>
        <v/>
      </c>
      <c r="K55" s="29" t="n"/>
      <c r="L55">
        <f>IFERROR(MATCH(32,'マスタ'!$N$2:$N$246,0),"")</f>
        <v/>
      </c>
      <c r="M55">
        <f>IF(L55="","",INDEX('マスタ'!$A$2:$A$246,L55))</f>
        <v/>
      </c>
      <c r="N55">
        <f>IF(L55="","",INDEX('マスタ'!$B$2:$B$246,L55))</f>
        <v/>
      </c>
    </row>
    <row r="56">
      <c r="A56" s="29">
        <f>IF(M56="T",INDEX('設定'!$H$23:$H$34,N56),"")</f>
        <v/>
      </c>
      <c r="B56" s="29">
        <f>IF(OR(L56="",M56="B"),"",INDEX('マスタ'!$C$2:$C$246,L56))</f>
        <v/>
      </c>
      <c r="C56" s="29">
        <f>IF(M56="I",INDEX('マスタ'!$D$2:$D$246,L56)&amp;"","")</f>
        <v/>
      </c>
      <c r="D56" s="30">
        <f>IF(M56="I",INDEX('マスタ'!$M$2:$M$246,L56),"")</f>
        <v/>
      </c>
      <c r="F56" s="47">
        <f>IF(M56="I",INDEX('マスタ'!$F$2:$F$246,L56)&amp;"","")</f>
        <v/>
      </c>
      <c r="G56" s="48" t="n"/>
      <c r="I56" s="48">
        <f>IF(M56="I",IF(OR(G56="",D56=""),"",ROUND(D56*G56,0)),IF(M56="S",SUMIFS(I$24:I55,N$24:N55,N56,M$24:M55,"I"),""))</f>
        <v/>
      </c>
      <c r="K56" s="29" t="n"/>
      <c r="L56">
        <f>IFERROR(MATCH(33,'マスタ'!$N$2:$N$246,0),"")</f>
        <v/>
      </c>
      <c r="M56">
        <f>IF(L56="","",INDEX('マスタ'!$A$2:$A$246,L56))</f>
        <v/>
      </c>
      <c r="N56">
        <f>IF(L56="","",INDEX('マスタ'!$B$2:$B$246,L56))</f>
        <v/>
      </c>
    </row>
    <row r="57">
      <c r="A57" s="29">
        <f>IF(M57="T",INDEX('設定'!$H$23:$H$34,N57),"")</f>
        <v/>
      </c>
      <c r="B57" s="29">
        <f>IF(OR(L57="",M57="B"),"",INDEX('マスタ'!$C$2:$C$246,L57))</f>
        <v/>
      </c>
      <c r="C57" s="29">
        <f>IF(M57="I",INDEX('マスタ'!$D$2:$D$246,L57)&amp;"","")</f>
        <v/>
      </c>
      <c r="D57" s="30">
        <f>IF(M57="I",INDEX('マスタ'!$M$2:$M$246,L57),"")</f>
        <v/>
      </c>
      <c r="F57" s="47">
        <f>IF(M57="I",INDEX('マスタ'!$F$2:$F$246,L57)&amp;"","")</f>
        <v/>
      </c>
      <c r="G57" s="48" t="n"/>
      <c r="I57" s="48">
        <f>IF(M57="I",IF(OR(G57="",D57=""),"",ROUND(D57*G57,0)),IF(M57="S",SUMIFS(I$24:I56,N$24:N56,N57,M$24:M56,"I"),""))</f>
        <v/>
      </c>
      <c r="K57" s="29" t="n"/>
      <c r="L57">
        <f>IFERROR(MATCH(34,'マスタ'!$N$2:$N$246,0),"")</f>
        <v/>
      </c>
      <c r="M57">
        <f>IF(L57="","",INDEX('マスタ'!$A$2:$A$246,L57))</f>
        <v/>
      </c>
      <c r="N57">
        <f>IF(L57="","",INDEX('マスタ'!$B$2:$B$246,L57))</f>
        <v/>
      </c>
    </row>
    <row r="58">
      <c r="A58" s="29">
        <f>IF(M58="T",INDEX('設定'!$H$23:$H$34,N58),"")</f>
        <v/>
      </c>
      <c r="B58" s="29">
        <f>IF(OR(L58="",M58="B"),"",INDEX('マスタ'!$C$2:$C$246,L58))</f>
        <v/>
      </c>
      <c r="C58" s="29">
        <f>IF(M58="I",INDEX('マスタ'!$D$2:$D$246,L58)&amp;"","")</f>
        <v/>
      </c>
      <c r="D58" s="30">
        <f>IF(M58="I",INDEX('マスタ'!$M$2:$M$246,L58),"")</f>
        <v/>
      </c>
      <c r="F58" s="47">
        <f>IF(M58="I",INDEX('マスタ'!$F$2:$F$246,L58)&amp;"","")</f>
        <v/>
      </c>
      <c r="G58" s="48" t="n"/>
      <c r="I58" s="48">
        <f>IF(M58="I",IF(OR(G58="",D58=""),"",ROUND(D58*G58,0)),IF(M58="S",SUMIFS(I$24:I57,N$24:N57,N58,M$24:M57,"I"),""))</f>
        <v/>
      </c>
      <c r="K58" s="29" t="n"/>
      <c r="L58">
        <f>IFERROR(MATCH(35,'マスタ'!$N$2:$N$246,0),"")</f>
        <v/>
      </c>
      <c r="M58">
        <f>IF(L58="","",INDEX('マスタ'!$A$2:$A$246,L58))</f>
        <v/>
      </c>
      <c r="N58">
        <f>IF(L58="","",INDEX('マスタ'!$B$2:$B$246,L58))</f>
        <v/>
      </c>
    </row>
    <row r="59">
      <c r="A59" s="29">
        <f>IF(M59="T",INDEX('設定'!$H$23:$H$34,N59),"")</f>
        <v/>
      </c>
      <c r="B59" s="29">
        <f>IF(OR(L59="",M59="B"),"",INDEX('マスタ'!$C$2:$C$246,L59))</f>
        <v/>
      </c>
      <c r="C59" s="29">
        <f>IF(M59="I",INDEX('マスタ'!$D$2:$D$246,L59)&amp;"","")</f>
        <v/>
      </c>
      <c r="D59" s="30">
        <f>IF(M59="I",INDEX('マスタ'!$M$2:$M$246,L59),"")</f>
        <v/>
      </c>
      <c r="F59" s="47">
        <f>IF(M59="I",INDEX('マスタ'!$F$2:$F$246,L59)&amp;"","")</f>
        <v/>
      </c>
      <c r="G59" s="48" t="n"/>
      <c r="I59" s="48">
        <f>IF(M59="I",IF(OR(G59="",D59=""),"",ROUND(D59*G59,0)),IF(M59="S",SUMIFS(I$24:I58,N$24:N58,N59,M$24:M58,"I"),""))</f>
        <v/>
      </c>
      <c r="K59" s="29" t="n"/>
      <c r="L59">
        <f>IFERROR(MATCH(36,'マスタ'!$N$2:$N$246,0),"")</f>
        <v/>
      </c>
      <c r="M59">
        <f>IF(L59="","",INDEX('マスタ'!$A$2:$A$246,L59))</f>
        <v/>
      </c>
      <c r="N59">
        <f>IF(L59="","",INDEX('マスタ'!$B$2:$B$246,L59))</f>
        <v/>
      </c>
    </row>
    <row r="60">
      <c r="A60" s="29">
        <f>IF(M60="T",INDEX('設定'!$H$23:$H$34,N60),"")</f>
        <v/>
      </c>
      <c r="B60" s="29">
        <f>IF(OR(L60="",M60="B"),"",INDEX('マスタ'!$C$2:$C$246,L60))</f>
        <v/>
      </c>
      <c r="C60" s="29">
        <f>IF(M60="I",INDEX('マスタ'!$D$2:$D$246,L60)&amp;"","")</f>
        <v/>
      </c>
      <c r="D60" s="30">
        <f>IF(M60="I",INDEX('マスタ'!$M$2:$M$246,L60),"")</f>
        <v/>
      </c>
      <c r="F60" s="47">
        <f>IF(M60="I",INDEX('マスタ'!$F$2:$F$246,L60)&amp;"","")</f>
        <v/>
      </c>
      <c r="G60" s="48" t="n"/>
      <c r="I60" s="48">
        <f>IF(M60="I",IF(OR(G60="",D60=""),"",ROUND(D60*G60,0)),IF(M60="S",SUMIFS(I$24:I59,N$24:N59,N60,M$24:M59,"I"),""))</f>
        <v/>
      </c>
      <c r="K60" s="29" t="n"/>
      <c r="L60">
        <f>IFERROR(MATCH(37,'マスタ'!$N$2:$N$246,0),"")</f>
        <v/>
      </c>
      <c r="M60">
        <f>IF(L60="","",INDEX('マスタ'!$A$2:$A$246,L60))</f>
        <v/>
      </c>
      <c r="N60">
        <f>IF(L60="","",INDEX('マスタ'!$B$2:$B$246,L60))</f>
        <v/>
      </c>
    </row>
    <row r="61">
      <c r="A61" s="29">
        <f>IF(M61="T",INDEX('設定'!$H$23:$H$34,N61),"")</f>
        <v/>
      </c>
      <c r="B61" s="29">
        <f>IF(OR(L61="",M61="B"),"",INDEX('マスタ'!$C$2:$C$246,L61))</f>
        <v/>
      </c>
      <c r="C61" s="29">
        <f>IF(M61="I",INDEX('マスタ'!$D$2:$D$246,L61)&amp;"","")</f>
        <v/>
      </c>
      <c r="D61" s="30">
        <f>IF(M61="I",INDEX('マスタ'!$M$2:$M$246,L61),"")</f>
        <v/>
      </c>
      <c r="F61" s="47">
        <f>IF(M61="I",INDEX('マスタ'!$F$2:$F$246,L61)&amp;"","")</f>
        <v/>
      </c>
      <c r="G61" s="48" t="n"/>
      <c r="I61" s="48">
        <f>IF(M61="I",IF(OR(G61="",D61=""),"",ROUND(D61*G61,0)),IF(M61="S",SUMIFS(I$24:I60,N$24:N60,N61,M$24:M60,"I"),""))</f>
        <v/>
      </c>
      <c r="K61" s="29" t="n"/>
      <c r="L61">
        <f>IFERROR(MATCH(38,'マスタ'!$N$2:$N$246,0),"")</f>
        <v/>
      </c>
      <c r="M61">
        <f>IF(L61="","",INDEX('マスタ'!$A$2:$A$246,L61))</f>
        <v/>
      </c>
      <c r="N61">
        <f>IF(L61="","",INDEX('マスタ'!$B$2:$B$246,L61))</f>
        <v/>
      </c>
    </row>
    <row r="62">
      <c r="A62" s="29">
        <f>IF(M62="T",INDEX('設定'!$H$23:$H$34,N62),"")</f>
        <v/>
      </c>
      <c r="B62" s="29">
        <f>IF(OR(L62="",M62="B"),"",INDEX('マスタ'!$C$2:$C$246,L62))</f>
        <v/>
      </c>
      <c r="C62" s="29">
        <f>IF(M62="I",INDEX('マスタ'!$D$2:$D$246,L62)&amp;"","")</f>
        <v/>
      </c>
      <c r="D62" s="30">
        <f>IF(M62="I",INDEX('マスタ'!$M$2:$M$246,L62),"")</f>
        <v/>
      </c>
      <c r="F62" s="47">
        <f>IF(M62="I",INDEX('マスタ'!$F$2:$F$246,L62)&amp;"","")</f>
        <v/>
      </c>
      <c r="G62" s="48" t="n"/>
      <c r="I62" s="48">
        <f>IF(M62="I",IF(OR(G62="",D62=""),"",ROUND(D62*G62,0)),IF(M62="S",SUMIFS(I$24:I61,N$24:N61,N62,M$24:M61,"I"),""))</f>
        <v/>
      </c>
      <c r="K62" s="29" t="n"/>
      <c r="L62">
        <f>IFERROR(MATCH(39,'マスタ'!$N$2:$N$246,0),"")</f>
        <v/>
      </c>
      <c r="M62">
        <f>IF(L62="","",INDEX('マスタ'!$A$2:$A$246,L62))</f>
        <v/>
      </c>
      <c r="N62">
        <f>IF(L62="","",INDEX('マスタ'!$B$2:$B$246,L62))</f>
        <v/>
      </c>
    </row>
    <row r="63">
      <c r="A63" s="29">
        <f>IF(M63="T",INDEX('設定'!$H$23:$H$34,N63),"")</f>
        <v/>
      </c>
      <c r="B63" s="29">
        <f>IF(OR(L63="",M63="B"),"",INDEX('マスタ'!$C$2:$C$246,L63))</f>
        <v/>
      </c>
      <c r="C63" s="29">
        <f>IF(M63="I",INDEX('マスタ'!$D$2:$D$246,L63)&amp;"","")</f>
        <v/>
      </c>
      <c r="D63" s="30">
        <f>IF(M63="I",INDEX('マスタ'!$M$2:$M$246,L63),"")</f>
        <v/>
      </c>
      <c r="F63" s="47">
        <f>IF(M63="I",INDEX('マスタ'!$F$2:$F$246,L63)&amp;"","")</f>
        <v/>
      </c>
      <c r="G63" s="48" t="n"/>
      <c r="I63" s="48">
        <f>IF(M63="I",IF(OR(G63="",D63=""),"",ROUND(D63*G63,0)),IF(M63="S",SUMIFS(I$24:I62,N$24:N62,N63,M$24:M62,"I"),""))</f>
        <v/>
      </c>
      <c r="K63" s="29" t="n"/>
      <c r="L63">
        <f>IFERROR(MATCH(40,'マスタ'!$N$2:$N$246,0),"")</f>
        <v/>
      </c>
      <c r="M63">
        <f>IF(L63="","",INDEX('マスタ'!$A$2:$A$246,L63))</f>
        <v/>
      </c>
      <c r="N63">
        <f>IF(L63="","",INDEX('マスタ'!$B$2:$B$246,L63))</f>
        <v/>
      </c>
    </row>
    <row r="64">
      <c r="A64" s="29">
        <f>IF(M64="T",INDEX('設定'!$H$23:$H$34,N64),"")</f>
        <v/>
      </c>
      <c r="B64" s="29">
        <f>IF(OR(L64="",M64="B"),"",INDEX('マスタ'!$C$2:$C$246,L64))</f>
        <v/>
      </c>
      <c r="C64" s="29">
        <f>IF(M64="I",INDEX('マスタ'!$D$2:$D$246,L64)&amp;"","")</f>
        <v/>
      </c>
      <c r="D64" s="30">
        <f>IF(M64="I",INDEX('マスタ'!$M$2:$M$246,L64),"")</f>
        <v/>
      </c>
      <c r="F64" s="47">
        <f>IF(M64="I",INDEX('マスタ'!$F$2:$F$246,L64)&amp;"","")</f>
        <v/>
      </c>
      <c r="G64" s="48" t="n"/>
      <c r="I64" s="48">
        <f>IF(M64="I",IF(OR(G64="",D64=""),"",ROUND(D64*G64,0)),IF(M64="S",SUMIFS(I$24:I63,N$24:N63,N64,M$24:M63,"I"),""))</f>
        <v/>
      </c>
      <c r="K64" s="29" t="n"/>
      <c r="L64">
        <f>IFERROR(MATCH(41,'マスタ'!$N$2:$N$246,0),"")</f>
        <v/>
      </c>
      <c r="M64">
        <f>IF(L64="","",INDEX('マスタ'!$A$2:$A$246,L64))</f>
        <v/>
      </c>
      <c r="N64">
        <f>IF(L64="","",INDEX('マスタ'!$B$2:$B$246,L64))</f>
        <v/>
      </c>
    </row>
    <row r="65">
      <c r="A65" s="29">
        <f>IF(M65="T",INDEX('設定'!$H$23:$H$34,N65),"")</f>
        <v/>
      </c>
      <c r="B65" s="29">
        <f>IF(OR(L65="",M65="B"),"",INDEX('マスタ'!$C$2:$C$246,L65))</f>
        <v/>
      </c>
      <c r="C65" s="29">
        <f>IF(M65="I",INDEX('マスタ'!$D$2:$D$246,L65)&amp;"","")</f>
        <v/>
      </c>
      <c r="D65" s="30">
        <f>IF(M65="I",INDEX('マスタ'!$M$2:$M$246,L65),"")</f>
        <v/>
      </c>
      <c r="F65" s="47">
        <f>IF(M65="I",INDEX('マスタ'!$F$2:$F$246,L65)&amp;"","")</f>
        <v/>
      </c>
      <c r="G65" s="48" t="n"/>
      <c r="I65" s="48">
        <f>IF(M65="I",IF(OR(G65="",D65=""),"",ROUND(D65*G65,0)),IF(M65="S",SUMIFS(I$24:I64,N$24:N64,N65,M$24:M64,"I"),""))</f>
        <v/>
      </c>
      <c r="K65" s="29" t="n"/>
      <c r="L65">
        <f>IFERROR(MATCH(42,'マスタ'!$N$2:$N$246,0),"")</f>
        <v/>
      </c>
      <c r="M65">
        <f>IF(L65="","",INDEX('マスタ'!$A$2:$A$246,L65))</f>
        <v/>
      </c>
      <c r="N65">
        <f>IF(L65="","",INDEX('マスタ'!$B$2:$B$246,L65))</f>
        <v/>
      </c>
    </row>
    <row r="66">
      <c r="A66" s="29">
        <f>IF(M66="T",INDEX('設定'!$H$23:$H$34,N66),"")</f>
        <v/>
      </c>
      <c r="B66" s="29">
        <f>IF(OR(L66="",M66="B"),"",INDEX('マスタ'!$C$2:$C$246,L66))</f>
        <v/>
      </c>
      <c r="C66" s="29">
        <f>IF(M66="I",INDEX('マスタ'!$D$2:$D$246,L66)&amp;"","")</f>
        <v/>
      </c>
      <c r="D66" s="30">
        <f>IF(M66="I",INDEX('マスタ'!$M$2:$M$246,L66),"")</f>
        <v/>
      </c>
      <c r="F66" s="47">
        <f>IF(M66="I",INDEX('マスタ'!$F$2:$F$246,L66)&amp;"","")</f>
        <v/>
      </c>
      <c r="G66" s="48" t="n"/>
      <c r="I66" s="48">
        <f>IF(M66="I",IF(OR(G66="",D66=""),"",ROUND(D66*G66,0)),IF(M66="S",SUMIFS(I$24:I65,N$24:N65,N66,M$24:M65,"I"),""))</f>
        <v/>
      </c>
      <c r="K66" s="29" t="n"/>
      <c r="L66">
        <f>IFERROR(MATCH(43,'マスタ'!$N$2:$N$246,0),"")</f>
        <v/>
      </c>
      <c r="M66">
        <f>IF(L66="","",INDEX('マスタ'!$A$2:$A$246,L66))</f>
        <v/>
      </c>
      <c r="N66">
        <f>IF(L66="","",INDEX('マスタ'!$B$2:$B$246,L66))</f>
        <v/>
      </c>
    </row>
    <row r="67">
      <c r="A67" s="29">
        <f>IF(M67="T",INDEX('設定'!$H$23:$H$34,N67),"")</f>
        <v/>
      </c>
      <c r="B67" s="29">
        <f>IF(OR(L67="",M67="B"),"",INDEX('マスタ'!$C$2:$C$246,L67))</f>
        <v/>
      </c>
      <c r="C67" s="29">
        <f>IF(M67="I",INDEX('マスタ'!$D$2:$D$246,L67)&amp;"","")</f>
        <v/>
      </c>
      <c r="D67" s="30">
        <f>IF(M67="I",INDEX('マスタ'!$M$2:$M$246,L67),"")</f>
        <v/>
      </c>
      <c r="F67" s="47">
        <f>IF(M67="I",INDEX('マスタ'!$F$2:$F$246,L67)&amp;"","")</f>
        <v/>
      </c>
      <c r="G67" s="48" t="n"/>
      <c r="I67" s="48">
        <f>IF(M67="I",IF(OR(G67="",D67=""),"",ROUND(D67*G67,0)),IF(M67="S",SUMIFS(I$24:I66,N$24:N66,N67,M$24:M66,"I"),""))</f>
        <v/>
      </c>
      <c r="K67" s="29" t="n"/>
      <c r="L67">
        <f>IFERROR(MATCH(44,'マスタ'!$N$2:$N$246,0),"")</f>
        <v/>
      </c>
      <c r="M67">
        <f>IF(L67="","",INDEX('マスタ'!$A$2:$A$246,L67))</f>
        <v/>
      </c>
      <c r="N67">
        <f>IF(L67="","",INDEX('マスタ'!$B$2:$B$246,L67))</f>
        <v/>
      </c>
    </row>
    <row r="68">
      <c r="A68" s="29">
        <f>IF(M68="T",INDEX('設定'!$H$23:$H$34,N68),"")</f>
        <v/>
      </c>
      <c r="B68" s="29">
        <f>IF(OR(L68="",M68="B"),"",INDEX('マスタ'!$C$2:$C$246,L68))</f>
        <v/>
      </c>
      <c r="C68" s="29">
        <f>IF(M68="I",INDEX('マスタ'!$D$2:$D$246,L68)&amp;"","")</f>
        <v/>
      </c>
      <c r="D68" s="30">
        <f>IF(M68="I",INDEX('マスタ'!$M$2:$M$246,L68),"")</f>
        <v/>
      </c>
      <c r="F68" s="47">
        <f>IF(M68="I",INDEX('マスタ'!$F$2:$F$246,L68)&amp;"","")</f>
        <v/>
      </c>
      <c r="G68" s="48" t="n"/>
      <c r="I68" s="48">
        <f>IF(M68="I",IF(OR(G68="",D68=""),"",ROUND(D68*G68,0)),IF(M68="S",SUMIFS(I$24:I67,N$24:N67,N68,M$24:M67,"I"),""))</f>
        <v/>
      </c>
      <c r="K68" s="29" t="n"/>
      <c r="L68">
        <f>IFERROR(MATCH(45,'マスタ'!$N$2:$N$246,0),"")</f>
        <v/>
      </c>
      <c r="M68">
        <f>IF(L68="","",INDEX('マスタ'!$A$2:$A$246,L68))</f>
        <v/>
      </c>
      <c r="N68">
        <f>IF(L68="","",INDEX('マスタ'!$B$2:$B$246,L68))</f>
        <v/>
      </c>
    </row>
    <row r="69">
      <c r="A69" s="29">
        <f>IF(M69="T",INDEX('設定'!$H$23:$H$34,N69),"")</f>
        <v/>
      </c>
      <c r="B69" s="29">
        <f>IF(OR(L69="",M69="B"),"",INDEX('マスタ'!$C$2:$C$246,L69))</f>
        <v/>
      </c>
      <c r="C69" s="29">
        <f>IF(M69="I",INDEX('マスタ'!$D$2:$D$246,L69)&amp;"","")</f>
        <v/>
      </c>
      <c r="D69" s="30">
        <f>IF(M69="I",INDEX('マスタ'!$M$2:$M$246,L69),"")</f>
        <v/>
      </c>
      <c r="F69" s="47">
        <f>IF(M69="I",INDEX('マスタ'!$F$2:$F$246,L69)&amp;"","")</f>
        <v/>
      </c>
      <c r="G69" s="48" t="n"/>
      <c r="I69" s="48">
        <f>IF(M69="I",IF(OR(G69="",D69=""),"",ROUND(D69*G69,0)),IF(M69="S",SUMIFS(I$24:I68,N$24:N68,N69,M$24:M68,"I"),""))</f>
        <v/>
      </c>
      <c r="K69" s="29" t="n"/>
      <c r="L69">
        <f>IFERROR(MATCH(46,'マスタ'!$N$2:$N$246,0),"")</f>
        <v/>
      </c>
      <c r="M69">
        <f>IF(L69="","",INDEX('マスタ'!$A$2:$A$246,L69))</f>
        <v/>
      </c>
      <c r="N69">
        <f>IF(L69="","",INDEX('マスタ'!$B$2:$B$246,L69))</f>
        <v/>
      </c>
    </row>
    <row r="70">
      <c r="A70" s="29">
        <f>IF(M70="T",INDEX('設定'!$H$23:$H$34,N70),"")</f>
        <v/>
      </c>
      <c r="B70" s="29">
        <f>IF(OR(L70="",M70="B"),"",INDEX('マスタ'!$C$2:$C$246,L70))</f>
        <v/>
      </c>
      <c r="C70" s="29">
        <f>IF(M70="I",INDEX('マスタ'!$D$2:$D$246,L70)&amp;"","")</f>
        <v/>
      </c>
      <c r="D70" s="30">
        <f>IF(M70="I",INDEX('マスタ'!$M$2:$M$246,L70),"")</f>
        <v/>
      </c>
      <c r="F70" s="47">
        <f>IF(M70="I",INDEX('マスタ'!$F$2:$F$246,L70)&amp;"","")</f>
        <v/>
      </c>
      <c r="G70" s="48" t="n"/>
      <c r="I70" s="48">
        <f>IF(M70="I",IF(OR(G70="",D70=""),"",ROUND(D70*G70,0)),IF(M70="S",SUMIFS(I$24:I69,N$24:N69,N70,M$24:M69,"I"),""))</f>
        <v/>
      </c>
      <c r="K70" s="29" t="n"/>
      <c r="L70">
        <f>IFERROR(MATCH(47,'マスタ'!$N$2:$N$246,0),"")</f>
        <v/>
      </c>
      <c r="M70">
        <f>IF(L70="","",INDEX('マスタ'!$A$2:$A$246,L70))</f>
        <v/>
      </c>
      <c r="N70">
        <f>IF(L70="","",INDEX('マスタ'!$B$2:$B$246,L70))</f>
        <v/>
      </c>
    </row>
    <row r="71">
      <c r="A71" s="29">
        <f>IF(M71="T",INDEX('設定'!$H$23:$H$34,N71),"")</f>
        <v/>
      </c>
      <c r="B71" s="29">
        <f>IF(OR(L71="",M71="B"),"",INDEX('マスタ'!$C$2:$C$246,L71))</f>
        <v/>
      </c>
      <c r="C71" s="29">
        <f>IF(M71="I",INDEX('マスタ'!$D$2:$D$246,L71)&amp;"","")</f>
        <v/>
      </c>
      <c r="D71" s="30">
        <f>IF(M71="I",INDEX('マスタ'!$M$2:$M$246,L71),"")</f>
        <v/>
      </c>
      <c r="F71" s="47">
        <f>IF(M71="I",INDEX('マスタ'!$F$2:$F$246,L71)&amp;"","")</f>
        <v/>
      </c>
      <c r="G71" s="48" t="n"/>
      <c r="I71" s="48">
        <f>IF(M71="I",IF(OR(G71="",D71=""),"",ROUND(D71*G71,0)),IF(M71="S",SUMIFS(I$24:I70,N$24:N70,N71,M$24:M70,"I"),""))</f>
        <v/>
      </c>
      <c r="K71" s="29" t="n"/>
      <c r="L71">
        <f>IFERROR(MATCH(48,'マスタ'!$N$2:$N$246,0),"")</f>
        <v/>
      </c>
      <c r="M71">
        <f>IF(L71="","",INDEX('マスタ'!$A$2:$A$246,L71))</f>
        <v/>
      </c>
      <c r="N71">
        <f>IF(L71="","",INDEX('マスタ'!$B$2:$B$246,L71))</f>
        <v/>
      </c>
    </row>
    <row r="72">
      <c r="A72" s="29">
        <f>IF(M72="T",INDEX('設定'!$H$23:$H$34,N72),"")</f>
        <v/>
      </c>
      <c r="B72" s="29">
        <f>IF(OR(L72="",M72="B"),"",INDEX('マスタ'!$C$2:$C$246,L72))</f>
        <v/>
      </c>
      <c r="C72" s="29">
        <f>IF(M72="I",INDEX('マスタ'!$D$2:$D$246,L72)&amp;"","")</f>
        <v/>
      </c>
      <c r="D72" s="30">
        <f>IF(M72="I",INDEX('マスタ'!$M$2:$M$246,L72),"")</f>
        <v/>
      </c>
      <c r="F72" s="47">
        <f>IF(M72="I",INDEX('マスタ'!$F$2:$F$246,L72)&amp;"","")</f>
        <v/>
      </c>
      <c r="G72" s="48" t="n"/>
      <c r="I72" s="48">
        <f>IF(M72="I",IF(OR(G72="",D72=""),"",ROUND(D72*G72,0)),IF(M72="S",SUMIFS(I$24:I71,N$24:N71,N72,M$24:M71,"I"),""))</f>
        <v/>
      </c>
      <c r="K72" s="29" t="n"/>
      <c r="L72">
        <f>IFERROR(MATCH(49,'マスタ'!$N$2:$N$246,0),"")</f>
        <v/>
      </c>
      <c r="M72">
        <f>IF(L72="","",INDEX('マスタ'!$A$2:$A$246,L72))</f>
        <v/>
      </c>
      <c r="N72">
        <f>IF(L72="","",INDEX('マスタ'!$B$2:$B$246,L72))</f>
        <v/>
      </c>
    </row>
    <row r="73">
      <c r="A73" s="29">
        <f>IF(M73="T",INDEX('設定'!$H$23:$H$34,N73),"")</f>
        <v/>
      </c>
      <c r="B73" s="29">
        <f>IF(OR(L73="",M73="B"),"",INDEX('マスタ'!$C$2:$C$246,L73))</f>
        <v/>
      </c>
      <c r="C73" s="29">
        <f>IF(M73="I",INDEX('マスタ'!$D$2:$D$246,L73)&amp;"","")</f>
        <v/>
      </c>
      <c r="D73" s="30">
        <f>IF(M73="I",INDEX('マスタ'!$M$2:$M$246,L73),"")</f>
        <v/>
      </c>
      <c r="F73" s="47">
        <f>IF(M73="I",INDEX('マスタ'!$F$2:$F$246,L73)&amp;"","")</f>
        <v/>
      </c>
      <c r="G73" s="48" t="n"/>
      <c r="I73" s="48">
        <f>IF(M73="I",IF(OR(G73="",D73=""),"",ROUND(D73*G73,0)),IF(M73="S",SUMIFS(I$24:I72,N$24:N72,N73,M$24:M72,"I"),""))</f>
        <v/>
      </c>
      <c r="K73" s="29" t="n"/>
      <c r="L73">
        <f>IFERROR(MATCH(50,'マスタ'!$N$2:$N$246,0),"")</f>
        <v/>
      </c>
      <c r="M73">
        <f>IF(L73="","",INDEX('マスタ'!$A$2:$A$246,L73))</f>
        <v/>
      </c>
      <c r="N73">
        <f>IF(L73="","",INDEX('マスタ'!$B$2:$B$246,L73))</f>
        <v/>
      </c>
    </row>
    <row r="74">
      <c r="A74" s="29">
        <f>IF(M74="T",INDEX('設定'!$H$23:$H$34,N74),"")</f>
        <v/>
      </c>
      <c r="B74" s="29">
        <f>IF(OR(L74="",M74="B"),"",INDEX('マスタ'!$C$2:$C$246,L74))</f>
        <v/>
      </c>
      <c r="C74" s="29">
        <f>IF(M74="I",INDEX('マスタ'!$D$2:$D$246,L74)&amp;"","")</f>
        <v/>
      </c>
      <c r="D74" s="30">
        <f>IF(M74="I",INDEX('マスタ'!$M$2:$M$246,L74),"")</f>
        <v/>
      </c>
      <c r="F74" s="47">
        <f>IF(M74="I",INDEX('マスタ'!$F$2:$F$246,L74)&amp;"","")</f>
        <v/>
      </c>
      <c r="G74" s="48" t="n"/>
      <c r="I74" s="48">
        <f>IF(M74="I",IF(OR(G74="",D74=""),"",ROUND(D74*G74,0)),IF(M74="S",SUMIFS(I$24:I73,N$24:N73,N74,M$24:M73,"I"),""))</f>
        <v/>
      </c>
      <c r="K74" s="29" t="n"/>
      <c r="L74">
        <f>IFERROR(MATCH(51,'マスタ'!$N$2:$N$246,0),"")</f>
        <v/>
      </c>
      <c r="M74">
        <f>IF(L74="","",INDEX('マスタ'!$A$2:$A$246,L74))</f>
        <v/>
      </c>
      <c r="N74">
        <f>IF(L74="","",INDEX('マスタ'!$B$2:$B$246,L74))</f>
        <v/>
      </c>
    </row>
    <row r="75">
      <c r="A75" s="29">
        <f>IF(M75="T",INDEX('設定'!$H$23:$H$34,N75),"")</f>
        <v/>
      </c>
      <c r="B75" s="29">
        <f>IF(OR(L75="",M75="B"),"",INDEX('マスタ'!$C$2:$C$246,L75))</f>
        <v/>
      </c>
      <c r="C75" s="29">
        <f>IF(M75="I",INDEX('マスタ'!$D$2:$D$246,L75)&amp;"","")</f>
        <v/>
      </c>
      <c r="D75" s="30">
        <f>IF(M75="I",INDEX('マスタ'!$M$2:$M$246,L75),"")</f>
        <v/>
      </c>
      <c r="F75" s="47">
        <f>IF(M75="I",INDEX('マスタ'!$F$2:$F$246,L75)&amp;"","")</f>
        <v/>
      </c>
      <c r="G75" s="48" t="n"/>
      <c r="I75" s="48">
        <f>IF(M75="I",IF(OR(G75="",D75=""),"",ROUND(D75*G75,0)),IF(M75="S",SUMIFS(I$24:I74,N$24:N74,N75,M$24:M74,"I"),""))</f>
        <v/>
      </c>
      <c r="K75" s="29" t="n"/>
      <c r="L75">
        <f>IFERROR(MATCH(52,'マスタ'!$N$2:$N$246,0),"")</f>
        <v/>
      </c>
      <c r="M75">
        <f>IF(L75="","",INDEX('マスタ'!$A$2:$A$246,L75))</f>
        <v/>
      </c>
      <c r="N75">
        <f>IF(L75="","",INDEX('マスタ'!$B$2:$B$246,L75))</f>
        <v/>
      </c>
    </row>
    <row r="76">
      <c r="A76" s="29">
        <f>IF(M76="T",INDEX('設定'!$H$23:$H$34,N76),"")</f>
        <v/>
      </c>
      <c r="B76" s="29">
        <f>IF(OR(L76="",M76="B"),"",INDEX('マスタ'!$C$2:$C$246,L76))</f>
        <v/>
      </c>
      <c r="C76" s="29">
        <f>IF(M76="I",INDEX('マスタ'!$D$2:$D$246,L76)&amp;"","")</f>
        <v/>
      </c>
      <c r="D76" s="30">
        <f>IF(M76="I",INDEX('マスタ'!$M$2:$M$246,L76),"")</f>
        <v/>
      </c>
      <c r="F76" s="47">
        <f>IF(M76="I",INDEX('マスタ'!$F$2:$F$246,L76)&amp;"","")</f>
        <v/>
      </c>
      <c r="G76" s="48" t="n"/>
      <c r="I76" s="48">
        <f>IF(M76="I",IF(OR(G76="",D76=""),"",ROUND(D76*G76,0)),IF(M76="S",SUMIFS(I$24:I75,N$24:N75,N76,M$24:M75,"I"),""))</f>
        <v/>
      </c>
      <c r="K76" s="29" t="n"/>
      <c r="L76">
        <f>IFERROR(MATCH(53,'マスタ'!$N$2:$N$246,0),"")</f>
        <v/>
      </c>
      <c r="M76">
        <f>IF(L76="","",INDEX('マスタ'!$A$2:$A$246,L76))</f>
        <v/>
      </c>
      <c r="N76">
        <f>IF(L76="","",INDEX('マスタ'!$B$2:$B$246,L76))</f>
        <v/>
      </c>
    </row>
    <row r="77">
      <c r="A77" s="29">
        <f>IF(M77="T",INDEX('設定'!$H$23:$H$34,N77),"")</f>
        <v/>
      </c>
      <c r="B77" s="29">
        <f>IF(OR(L77="",M77="B"),"",INDEX('マスタ'!$C$2:$C$246,L77))</f>
        <v/>
      </c>
      <c r="C77" s="29">
        <f>IF(M77="I",INDEX('マスタ'!$D$2:$D$246,L77)&amp;"","")</f>
        <v/>
      </c>
      <c r="D77" s="30">
        <f>IF(M77="I",INDEX('マスタ'!$M$2:$M$246,L77),"")</f>
        <v/>
      </c>
      <c r="F77" s="47">
        <f>IF(M77="I",INDEX('マスタ'!$F$2:$F$246,L77)&amp;"","")</f>
        <v/>
      </c>
      <c r="G77" s="48" t="n"/>
      <c r="I77" s="48">
        <f>IF(M77="I",IF(OR(G77="",D77=""),"",ROUND(D77*G77,0)),IF(M77="S",SUMIFS(I$24:I76,N$24:N76,N77,M$24:M76,"I"),""))</f>
        <v/>
      </c>
      <c r="K77" s="29" t="n"/>
      <c r="L77">
        <f>IFERROR(MATCH(54,'マスタ'!$N$2:$N$246,0),"")</f>
        <v/>
      </c>
      <c r="M77">
        <f>IF(L77="","",INDEX('マスタ'!$A$2:$A$246,L77))</f>
        <v/>
      </c>
      <c r="N77">
        <f>IF(L77="","",INDEX('マスタ'!$B$2:$B$246,L77))</f>
        <v/>
      </c>
    </row>
    <row r="78">
      <c r="A78" s="29">
        <f>IF(M78="T",INDEX('設定'!$H$23:$H$34,N78),"")</f>
        <v/>
      </c>
      <c r="B78" s="29">
        <f>IF(OR(L78="",M78="B"),"",INDEX('マスタ'!$C$2:$C$246,L78))</f>
        <v/>
      </c>
      <c r="C78" s="29">
        <f>IF(M78="I",INDEX('マスタ'!$D$2:$D$246,L78)&amp;"","")</f>
        <v/>
      </c>
      <c r="D78" s="30">
        <f>IF(M78="I",INDEX('マスタ'!$M$2:$M$246,L78),"")</f>
        <v/>
      </c>
      <c r="F78" s="47">
        <f>IF(M78="I",INDEX('マスタ'!$F$2:$F$246,L78)&amp;"","")</f>
        <v/>
      </c>
      <c r="G78" s="48" t="n"/>
      <c r="I78" s="48">
        <f>IF(M78="I",IF(OR(G78="",D78=""),"",ROUND(D78*G78,0)),IF(M78="S",SUMIFS(I$24:I77,N$24:N77,N78,M$24:M77,"I"),""))</f>
        <v/>
      </c>
      <c r="K78" s="29" t="n"/>
      <c r="L78">
        <f>IFERROR(MATCH(55,'マスタ'!$N$2:$N$246,0),"")</f>
        <v/>
      </c>
      <c r="M78">
        <f>IF(L78="","",INDEX('マスタ'!$A$2:$A$246,L78))</f>
        <v/>
      </c>
      <c r="N78">
        <f>IF(L78="","",INDEX('マスタ'!$B$2:$B$246,L78))</f>
        <v/>
      </c>
    </row>
    <row r="79">
      <c r="A79" s="29">
        <f>IF(M79="T",INDEX('設定'!$H$23:$H$34,N79),"")</f>
        <v/>
      </c>
      <c r="B79" s="29">
        <f>IF(OR(L79="",M79="B"),"",INDEX('マスタ'!$C$2:$C$246,L79))</f>
        <v/>
      </c>
      <c r="C79" s="29">
        <f>IF(M79="I",INDEX('マスタ'!$D$2:$D$246,L79)&amp;"","")</f>
        <v/>
      </c>
      <c r="D79" s="30">
        <f>IF(M79="I",INDEX('マスタ'!$M$2:$M$246,L79),"")</f>
        <v/>
      </c>
      <c r="F79" s="47">
        <f>IF(M79="I",INDEX('マスタ'!$F$2:$F$246,L79)&amp;"","")</f>
        <v/>
      </c>
      <c r="G79" s="48" t="n"/>
      <c r="I79" s="48">
        <f>IF(M79="I",IF(OR(G79="",D79=""),"",ROUND(D79*G79,0)),IF(M79="S",SUMIFS(I$24:I78,N$24:N78,N79,M$24:M78,"I"),""))</f>
        <v/>
      </c>
      <c r="K79" s="29" t="n"/>
      <c r="L79">
        <f>IFERROR(MATCH(56,'マスタ'!$N$2:$N$246,0),"")</f>
        <v/>
      </c>
      <c r="M79">
        <f>IF(L79="","",INDEX('マスタ'!$A$2:$A$246,L79))</f>
        <v/>
      </c>
      <c r="N79">
        <f>IF(L79="","",INDEX('マスタ'!$B$2:$B$246,L79))</f>
        <v/>
      </c>
    </row>
    <row r="80">
      <c r="A80" s="29">
        <f>IF(M80="T",INDEX('設定'!$H$23:$H$34,N80),"")</f>
        <v/>
      </c>
      <c r="B80" s="29">
        <f>IF(OR(L80="",M80="B"),"",INDEX('マスタ'!$C$2:$C$246,L80))</f>
        <v/>
      </c>
      <c r="C80" s="29">
        <f>IF(M80="I",INDEX('マスタ'!$D$2:$D$246,L80)&amp;"","")</f>
        <v/>
      </c>
      <c r="D80" s="30">
        <f>IF(M80="I",INDEX('マスタ'!$M$2:$M$246,L80),"")</f>
        <v/>
      </c>
      <c r="F80" s="47">
        <f>IF(M80="I",INDEX('マスタ'!$F$2:$F$246,L80)&amp;"","")</f>
        <v/>
      </c>
      <c r="G80" s="48" t="n"/>
      <c r="I80" s="48">
        <f>IF(M80="I",IF(OR(G80="",D80=""),"",ROUND(D80*G80,0)),IF(M80="S",SUMIFS(I$24:I79,N$24:N79,N80,M$24:M79,"I"),""))</f>
        <v/>
      </c>
      <c r="K80" s="29" t="n"/>
      <c r="L80">
        <f>IFERROR(MATCH(57,'マスタ'!$N$2:$N$246,0),"")</f>
        <v/>
      </c>
      <c r="M80">
        <f>IF(L80="","",INDEX('マスタ'!$A$2:$A$246,L80))</f>
        <v/>
      </c>
      <c r="N80">
        <f>IF(L80="","",INDEX('マスタ'!$B$2:$B$246,L80))</f>
        <v/>
      </c>
    </row>
    <row r="81">
      <c r="A81" s="29">
        <f>IF(M81="T",INDEX('設定'!$H$23:$H$34,N81),"")</f>
        <v/>
      </c>
      <c r="B81" s="29">
        <f>IF(OR(L81="",M81="B"),"",INDEX('マスタ'!$C$2:$C$246,L81))</f>
        <v/>
      </c>
      <c r="C81" s="29">
        <f>IF(M81="I",INDEX('マスタ'!$D$2:$D$246,L81)&amp;"","")</f>
        <v/>
      </c>
      <c r="D81" s="30">
        <f>IF(M81="I",INDEX('マスタ'!$M$2:$M$246,L81),"")</f>
        <v/>
      </c>
      <c r="F81" s="47">
        <f>IF(M81="I",INDEX('マスタ'!$F$2:$F$246,L81)&amp;"","")</f>
        <v/>
      </c>
      <c r="G81" s="48" t="n"/>
      <c r="I81" s="48">
        <f>IF(M81="I",IF(OR(G81="",D81=""),"",ROUND(D81*G81,0)),IF(M81="S",SUMIFS(I$24:I80,N$24:N80,N81,M$24:M80,"I"),""))</f>
        <v/>
      </c>
      <c r="K81" s="29" t="n"/>
      <c r="L81">
        <f>IFERROR(MATCH(58,'マスタ'!$N$2:$N$246,0),"")</f>
        <v/>
      </c>
      <c r="M81">
        <f>IF(L81="","",INDEX('マスタ'!$A$2:$A$246,L81))</f>
        <v/>
      </c>
      <c r="N81">
        <f>IF(L81="","",INDEX('マスタ'!$B$2:$B$246,L81))</f>
        <v/>
      </c>
    </row>
    <row r="82">
      <c r="A82" s="29">
        <f>IF(M82="T",INDEX('設定'!$H$23:$H$34,N82),"")</f>
        <v/>
      </c>
      <c r="B82" s="29">
        <f>IF(OR(L82="",M82="B"),"",INDEX('マスタ'!$C$2:$C$246,L82))</f>
        <v/>
      </c>
      <c r="C82" s="29">
        <f>IF(M82="I",INDEX('マスタ'!$D$2:$D$246,L82)&amp;"","")</f>
        <v/>
      </c>
      <c r="D82" s="30">
        <f>IF(M82="I",INDEX('マスタ'!$M$2:$M$246,L82),"")</f>
        <v/>
      </c>
      <c r="F82" s="47">
        <f>IF(M82="I",INDEX('マスタ'!$F$2:$F$246,L82)&amp;"","")</f>
        <v/>
      </c>
      <c r="G82" s="48" t="n"/>
      <c r="I82" s="48">
        <f>IF(M82="I",IF(OR(G82="",D82=""),"",ROUND(D82*G82,0)),IF(M82="S",SUMIFS(I$24:I81,N$24:N81,N82,M$24:M81,"I"),""))</f>
        <v/>
      </c>
      <c r="K82" s="29" t="n"/>
      <c r="L82">
        <f>IFERROR(MATCH(59,'マスタ'!$N$2:$N$246,0),"")</f>
        <v/>
      </c>
      <c r="M82">
        <f>IF(L82="","",INDEX('マスタ'!$A$2:$A$246,L82))</f>
        <v/>
      </c>
      <c r="N82">
        <f>IF(L82="","",INDEX('マスタ'!$B$2:$B$246,L82))</f>
        <v/>
      </c>
    </row>
    <row r="83">
      <c r="A83" s="29">
        <f>IF(M83="T",INDEX('設定'!$H$23:$H$34,N83),"")</f>
        <v/>
      </c>
      <c r="B83" s="29">
        <f>IF(OR(L83="",M83="B"),"",INDEX('マスタ'!$C$2:$C$246,L83))</f>
        <v/>
      </c>
      <c r="C83" s="29">
        <f>IF(M83="I",INDEX('マスタ'!$D$2:$D$246,L83)&amp;"","")</f>
        <v/>
      </c>
      <c r="D83" s="30">
        <f>IF(M83="I",INDEX('マスタ'!$M$2:$M$246,L83),"")</f>
        <v/>
      </c>
      <c r="F83" s="47">
        <f>IF(M83="I",INDEX('マスタ'!$F$2:$F$246,L83)&amp;"","")</f>
        <v/>
      </c>
      <c r="G83" s="48" t="n"/>
      <c r="I83" s="48">
        <f>IF(M83="I",IF(OR(G83="",D83=""),"",ROUND(D83*G83,0)),IF(M83="S",SUMIFS(I$24:I82,N$24:N82,N83,M$24:M82,"I"),""))</f>
        <v/>
      </c>
      <c r="K83" s="29" t="n"/>
      <c r="L83">
        <f>IFERROR(MATCH(60,'マスタ'!$N$2:$N$246,0),"")</f>
        <v/>
      </c>
      <c r="M83">
        <f>IF(L83="","",INDEX('マスタ'!$A$2:$A$246,L83))</f>
        <v/>
      </c>
      <c r="N83">
        <f>IF(L83="","",INDEX('マスタ'!$B$2:$B$246,L83))</f>
        <v/>
      </c>
    </row>
    <row r="84">
      <c r="A84" s="29">
        <f>IF(M84="T",INDEX('設定'!$H$23:$H$34,N84),"")</f>
        <v/>
      </c>
      <c r="B84" s="29">
        <f>IF(OR(L84="",M84="B"),"",INDEX('マスタ'!$C$2:$C$246,L84))</f>
        <v/>
      </c>
      <c r="C84" s="29">
        <f>IF(M84="I",INDEX('マスタ'!$D$2:$D$246,L84)&amp;"","")</f>
        <v/>
      </c>
      <c r="D84" s="30">
        <f>IF(M84="I",INDEX('マスタ'!$M$2:$M$246,L84),"")</f>
        <v/>
      </c>
      <c r="F84" s="47">
        <f>IF(M84="I",INDEX('マスタ'!$F$2:$F$246,L84)&amp;"","")</f>
        <v/>
      </c>
      <c r="G84" s="48" t="n"/>
      <c r="I84" s="48">
        <f>IF(M84="I",IF(OR(G84="",D84=""),"",ROUND(D84*G84,0)),IF(M84="S",SUMIFS(I$24:I83,N$24:N83,N84,M$24:M83,"I"),""))</f>
        <v/>
      </c>
      <c r="K84" s="29" t="n"/>
      <c r="L84">
        <f>IFERROR(MATCH(61,'マスタ'!$N$2:$N$246,0),"")</f>
        <v/>
      </c>
      <c r="M84">
        <f>IF(L84="","",INDEX('マスタ'!$A$2:$A$246,L84))</f>
        <v/>
      </c>
      <c r="N84">
        <f>IF(L84="","",INDEX('マスタ'!$B$2:$B$246,L84))</f>
        <v/>
      </c>
    </row>
    <row r="85">
      <c r="A85" s="29">
        <f>IF(M85="T",INDEX('設定'!$H$23:$H$34,N85),"")</f>
        <v/>
      </c>
      <c r="B85" s="29">
        <f>IF(OR(L85="",M85="B"),"",INDEX('マスタ'!$C$2:$C$246,L85))</f>
        <v/>
      </c>
      <c r="C85" s="29">
        <f>IF(M85="I",INDEX('マスタ'!$D$2:$D$246,L85)&amp;"","")</f>
        <v/>
      </c>
      <c r="D85" s="30">
        <f>IF(M85="I",INDEX('マスタ'!$M$2:$M$246,L85),"")</f>
        <v/>
      </c>
      <c r="F85" s="47">
        <f>IF(M85="I",INDEX('マスタ'!$F$2:$F$246,L85)&amp;"","")</f>
        <v/>
      </c>
      <c r="G85" s="48" t="n"/>
      <c r="I85" s="48">
        <f>IF(M85="I",IF(OR(G85="",D85=""),"",ROUND(D85*G85,0)),IF(M85="S",SUMIFS(I$24:I84,N$24:N84,N85,M$24:M84,"I"),""))</f>
        <v/>
      </c>
      <c r="K85" s="29" t="n"/>
      <c r="L85">
        <f>IFERROR(MATCH(62,'マスタ'!$N$2:$N$246,0),"")</f>
        <v/>
      </c>
      <c r="M85">
        <f>IF(L85="","",INDEX('マスタ'!$A$2:$A$246,L85))</f>
        <v/>
      </c>
      <c r="N85">
        <f>IF(L85="","",INDEX('マスタ'!$B$2:$B$246,L85))</f>
        <v/>
      </c>
    </row>
    <row r="86">
      <c r="A86" s="29">
        <f>IF(M86="T",INDEX('設定'!$H$23:$H$34,N86),"")</f>
        <v/>
      </c>
      <c r="B86" s="29">
        <f>IF(OR(L86="",M86="B"),"",INDEX('マスタ'!$C$2:$C$246,L86))</f>
        <v/>
      </c>
      <c r="C86" s="29">
        <f>IF(M86="I",INDEX('マスタ'!$D$2:$D$246,L86)&amp;"","")</f>
        <v/>
      </c>
      <c r="D86" s="30">
        <f>IF(M86="I",INDEX('マスタ'!$M$2:$M$246,L86),"")</f>
        <v/>
      </c>
      <c r="F86" s="47">
        <f>IF(M86="I",INDEX('マスタ'!$F$2:$F$246,L86)&amp;"","")</f>
        <v/>
      </c>
      <c r="G86" s="48" t="n"/>
      <c r="I86" s="48">
        <f>IF(M86="I",IF(OR(G86="",D86=""),"",ROUND(D86*G86,0)),IF(M86="S",SUMIFS(I$24:I85,N$24:N85,N86,M$24:M85,"I"),""))</f>
        <v/>
      </c>
      <c r="K86" s="29" t="n"/>
      <c r="L86">
        <f>IFERROR(MATCH(63,'マスタ'!$N$2:$N$246,0),"")</f>
        <v/>
      </c>
      <c r="M86">
        <f>IF(L86="","",INDEX('マスタ'!$A$2:$A$246,L86))</f>
        <v/>
      </c>
      <c r="N86">
        <f>IF(L86="","",INDEX('マスタ'!$B$2:$B$246,L86))</f>
        <v/>
      </c>
    </row>
    <row r="87">
      <c r="A87" s="29">
        <f>IF(M87="T",INDEX('設定'!$H$23:$H$34,N87),"")</f>
        <v/>
      </c>
      <c r="B87" s="29">
        <f>IF(OR(L87="",M87="B"),"",INDEX('マスタ'!$C$2:$C$246,L87))</f>
        <v/>
      </c>
      <c r="C87" s="29">
        <f>IF(M87="I",INDEX('マスタ'!$D$2:$D$246,L87)&amp;"","")</f>
        <v/>
      </c>
      <c r="D87" s="30">
        <f>IF(M87="I",INDEX('マスタ'!$M$2:$M$246,L87),"")</f>
        <v/>
      </c>
      <c r="F87" s="47">
        <f>IF(M87="I",INDEX('マスタ'!$F$2:$F$246,L87)&amp;"","")</f>
        <v/>
      </c>
      <c r="G87" s="48" t="n"/>
      <c r="I87" s="48">
        <f>IF(M87="I",IF(OR(G87="",D87=""),"",ROUND(D87*G87,0)),IF(M87="S",SUMIFS(I$24:I86,N$24:N86,N87,M$24:M86,"I"),""))</f>
        <v/>
      </c>
      <c r="K87" s="29" t="n"/>
      <c r="L87">
        <f>IFERROR(MATCH(64,'マスタ'!$N$2:$N$246,0),"")</f>
        <v/>
      </c>
      <c r="M87">
        <f>IF(L87="","",INDEX('マスタ'!$A$2:$A$246,L87))</f>
        <v/>
      </c>
      <c r="N87">
        <f>IF(L87="","",INDEX('マスタ'!$B$2:$B$246,L87))</f>
        <v/>
      </c>
    </row>
    <row r="88">
      <c r="A88" s="29">
        <f>IF(M88="T",INDEX('設定'!$H$23:$H$34,N88),"")</f>
        <v/>
      </c>
      <c r="B88" s="29">
        <f>IF(OR(L88="",M88="B"),"",INDEX('マスタ'!$C$2:$C$246,L88))</f>
        <v/>
      </c>
      <c r="C88" s="29">
        <f>IF(M88="I",INDEX('マスタ'!$D$2:$D$246,L88)&amp;"","")</f>
        <v/>
      </c>
      <c r="D88" s="30">
        <f>IF(M88="I",INDEX('マスタ'!$M$2:$M$246,L88),"")</f>
        <v/>
      </c>
      <c r="F88" s="47">
        <f>IF(M88="I",INDEX('マスタ'!$F$2:$F$246,L88)&amp;"","")</f>
        <v/>
      </c>
      <c r="G88" s="48" t="n"/>
      <c r="I88" s="48">
        <f>IF(M88="I",IF(OR(G88="",D88=""),"",ROUND(D88*G88,0)),IF(M88="S",SUMIFS(I$24:I87,N$24:N87,N88,M$24:M87,"I"),""))</f>
        <v/>
      </c>
      <c r="K88" s="29" t="n"/>
      <c r="L88">
        <f>IFERROR(MATCH(65,'マスタ'!$N$2:$N$246,0),"")</f>
        <v/>
      </c>
      <c r="M88">
        <f>IF(L88="","",INDEX('マスタ'!$A$2:$A$246,L88))</f>
        <v/>
      </c>
      <c r="N88">
        <f>IF(L88="","",INDEX('マスタ'!$B$2:$B$246,L88))</f>
        <v/>
      </c>
    </row>
    <row r="89">
      <c r="A89" s="29">
        <f>IF(M89="T",INDEX('設定'!$H$23:$H$34,N89),"")</f>
        <v/>
      </c>
      <c r="B89" s="29">
        <f>IF(OR(L89="",M89="B"),"",INDEX('マスタ'!$C$2:$C$246,L89))</f>
        <v/>
      </c>
      <c r="C89" s="29">
        <f>IF(M89="I",INDEX('マスタ'!$D$2:$D$246,L89)&amp;"","")</f>
        <v/>
      </c>
      <c r="D89" s="30">
        <f>IF(M89="I",INDEX('マスタ'!$M$2:$M$246,L89),"")</f>
        <v/>
      </c>
      <c r="F89" s="47">
        <f>IF(M89="I",INDEX('マスタ'!$F$2:$F$246,L89)&amp;"","")</f>
        <v/>
      </c>
      <c r="G89" s="48" t="n"/>
      <c r="I89" s="48">
        <f>IF(M89="I",IF(OR(G89="",D89=""),"",ROUND(D89*G89,0)),IF(M89="S",SUMIFS(I$24:I88,N$24:N88,N89,M$24:M88,"I"),""))</f>
        <v/>
      </c>
      <c r="K89" s="29" t="n"/>
      <c r="L89">
        <f>IFERROR(MATCH(66,'マスタ'!$N$2:$N$246,0),"")</f>
        <v/>
      </c>
      <c r="M89">
        <f>IF(L89="","",INDEX('マスタ'!$A$2:$A$246,L89))</f>
        <v/>
      </c>
      <c r="N89">
        <f>IF(L89="","",INDEX('マスタ'!$B$2:$B$246,L89))</f>
        <v/>
      </c>
    </row>
    <row r="90">
      <c r="A90" s="29">
        <f>IF(M90="T",INDEX('設定'!$H$23:$H$34,N90),"")</f>
        <v/>
      </c>
      <c r="B90" s="29">
        <f>IF(OR(L90="",M90="B"),"",INDEX('マスタ'!$C$2:$C$246,L90))</f>
        <v/>
      </c>
      <c r="C90" s="29">
        <f>IF(M90="I",INDEX('マスタ'!$D$2:$D$246,L90)&amp;"","")</f>
        <v/>
      </c>
      <c r="D90" s="30">
        <f>IF(M90="I",INDEX('マスタ'!$M$2:$M$246,L90),"")</f>
        <v/>
      </c>
      <c r="F90" s="47">
        <f>IF(M90="I",INDEX('マスタ'!$F$2:$F$246,L90)&amp;"","")</f>
        <v/>
      </c>
      <c r="G90" s="48" t="n"/>
      <c r="I90" s="48">
        <f>IF(M90="I",IF(OR(G90="",D90=""),"",ROUND(D90*G90,0)),IF(M90="S",SUMIFS(I$24:I89,N$24:N89,N90,M$24:M89,"I"),""))</f>
        <v/>
      </c>
      <c r="K90" s="29" t="n"/>
      <c r="L90">
        <f>IFERROR(MATCH(67,'マスタ'!$N$2:$N$246,0),"")</f>
        <v/>
      </c>
      <c r="M90">
        <f>IF(L90="","",INDEX('マスタ'!$A$2:$A$246,L90))</f>
        <v/>
      </c>
      <c r="N90">
        <f>IF(L90="","",INDEX('マスタ'!$B$2:$B$246,L90))</f>
        <v/>
      </c>
    </row>
    <row r="91">
      <c r="A91" s="29">
        <f>IF(M91="T",INDEX('設定'!$H$23:$H$34,N91),"")</f>
        <v/>
      </c>
      <c r="B91" s="29">
        <f>IF(OR(L91="",M91="B"),"",INDEX('マスタ'!$C$2:$C$246,L91))</f>
        <v/>
      </c>
      <c r="C91" s="29">
        <f>IF(M91="I",INDEX('マスタ'!$D$2:$D$246,L91)&amp;"","")</f>
        <v/>
      </c>
      <c r="D91" s="30">
        <f>IF(M91="I",INDEX('マスタ'!$M$2:$M$246,L91),"")</f>
        <v/>
      </c>
      <c r="F91" s="47">
        <f>IF(M91="I",INDEX('マスタ'!$F$2:$F$246,L91)&amp;"","")</f>
        <v/>
      </c>
      <c r="G91" s="48" t="n"/>
      <c r="I91" s="48">
        <f>IF(M91="I",IF(OR(G91="",D91=""),"",ROUND(D91*G91,0)),IF(M91="S",SUMIFS(I$24:I90,N$24:N90,N91,M$24:M90,"I"),""))</f>
        <v/>
      </c>
      <c r="K91" s="29" t="n"/>
      <c r="L91">
        <f>IFERROR(MATCH(68,'マスタ'!$N$2:$N$246,0),"")</f>
        <v/>
      </c>
      <c r="M91">
        <f>IF(L91="","",INDEX('マスタ'!$A$2:$A$246,L91))</f>
        <v/>
      </c>
      <c r="N91">
        <f>IF(L91="","",INDEX('マスタ'!$B$2:$B$246,L91))</f>
        <v/>
      </c>
    </row>
    <row r="92">
      <c r="A92" s="29">
        <f>IF(M92="T",INDEX('設定'!$H$23:$H$34,N92),"")</f>
        <v/>
      </c>
      <c r="B92" s="29">
        <f>IF(OR(L92="",M92="B"),"",INDEX('マスタ'!$C$2:$C$246,L92))</f>
        <v/>
      </c>
      <c r="C92" s="29">
        <f>IF(M92="I",INDEX('マスタ'!$D$2:$D$246,L92)&amp;"","")</f>
        <v/>
      </c>
      <c r="D92" s="30">
        <f>IF(M92="I",INDEX('マスタ'!$M$2:$M$246,L92),"")</f>
        <v/>
      </c>
      <c r="F92" s="47">
        <f>IF(M92="I",INDEX('マスタ'!$F$2:$F$246,L92)&amp;"","")</f>
        <v/>
      </c>
      <c r="G92" s="48" t="n"/>
      <c r="I92" s="48">
        <f>IF(M92="I",IF(OR(G92="",D92=""),"",ROUND(D92*G92,0)),IF(M92="S",SUMIFS(I$24:I91,N$24:N91,N92,M$24:M91,"I"),""))</f>
        <v/>
      </c>
      <c r="K92" s="29" t="n"/>
      <c r="L92">
        <f>IFERROR(MATCH(69,'マスタ'!$N$2:$N$246,0),"")</f>
        <v/>
      </c>
      <c r="M92">
        <f>IF(L92="","",INDEX('マスタ'!$A$2:$A$246,L92))</f>
        <v/>
      </c>
      <c r="N92">
        <f>IF(L92="","",INDEX('マスタ'!$B$2:$B$246,L92))</f>
        <v/>
      </c>
    </row>
    <row r="93">
      <c r="A93" s="29">
        <f>IF(M93="T",INDEX('設定'!$H$23:$H$34,N93),"")</f>
        <v/>
      </c>
      <c r="B93" s="29">
        <f>IF(OR(L93="",M93="B"),"",INDEX('マスタ'!$C$2:$C$246,L93))</f>
        <v/>
      </c>
      <c r="C93" s="29">
        <f>IF(M93="I",INDEX('マスタ'!$D$2:$D$246,L93)&amp;"","")</f>
        <v/>
      </c>
      <c r="D93" s="30">
        <f>IF(M93="I",INDEX('マスタ'!$M$2:$M$246,L93),"")</f>
        <v/>
      </c>
      <c r="F93" s="47">
        <f>IF(M93="I",INDEX('マスタ'!$F$2:$F$246,L93)&amp;"","")</f>
        <v/>
      </c>
      <c r="G93" s="48" t="n"/>
      <c r="I93" s="48">
        <f>IF(M93="I",IF(OR(G93="",D93=""),"",ROUND(D93*G93,0)),IF(M93="S",SUMIFS(I$24:I92,N$24:N92,N93,M$24:M92,"I"),""))</f>
        <v/>
      </c>
      <c r="K93" s="29" t="n"/>
      <c r="L93">
        <f>IFERROR(MATCH(70,'マスタ'!$N$2:$N$246,0),"")</f>
        <v/>
      </c>
      <c r="M93">
        <f>IF(L93="","",INDEX('マスタ'!$A$2:$A$246,L93))</f>
        <v/>
      </c>
      <c r="N93">
        <f>IF(L93="","",INDEX('マスタ'!$B$2:$B$246,L93))</f>
        <v/>
      </c>
    </row>
    <row r="94">
      <c r="A94" s="29">
        <f>IF(M94="T",INDEX('設定'!$H$23:$H$34,N94),"")</f>
        <v/>
      </c>
      <c r="B94" s="29">
        <f>IF(OR(L94="",M94="B"),"",INDEX('マスタ'!$C$2:$C$246,L94))</f>
        <v/>
      </c>
      <c r="C94" s="29">
        <f>IF(M94="I",INDEX('マスタ'!$D$2:$D$246,L94)&amp;"","")</f>
        <v/>
      </c>
      <c r="D94" s="30">
        <f>IF(M94="I",INDEX('マスタ'!$M$2:$M$246,L94),"")</f>
        <v/>
      </c>
      <c r="F94" s="47">
        <f>IF(M94="I",INDEX('マスタ'!$F$2:$F$246,L94)&amp;"","")</f>
        <v/>
      </c>
      <c r="G94" s="48" t="n"/>
      <c r="I94" s="48">
        <f>IF(M94="I",IF(OR(G94="",D94=""),"",ROUND(D94*G94,0)),IF(M94="S",SUMIFS(I$24:I93,N$24:N93,N94,M$24:M93,"I"),""))</f>
        <v/>
      </c>
      <c r="K94" s="29" t="n"/>
      <c r="L94">
        <f>IFERROR(MATCH(71,'マスタ'!$N$2:$N$246,0),"")</f>
        <v/>
      </c>
      <c r="M94">
        <f>IF(L94="","",INDEX('マスタ'!$A$2:$A$246,L94))</f>
        <v/>
      </c>
      <c r="N94">
        <f>IF(L94="","",INDEX('マスタ'!$B$2:$B$246,L94))</f>
        <v/>
      </c>
    </row>
    <row r="95">
      <c r="A95" s="29">
        <f>IF(M95="T",INDEX('設定'!$H$23:$H$34,N95),"")</f>
        <v/>
      </c>
      <c r="B95" s="29">
        <f>IF(OR(L95="",M95="B"),"",INDEX('マスタ'!$C$2:$C$246,L95))</f>
        <v/>
      </c>
      <c r="C95" s="29">
        <f>IF(M95="I",INDEX('マスタ'!$D$2:$D$246,L95)&amp;"","")</f>
        <v/>
      </c>
      <c r="D95" s="30">
        <f>IF(M95="I",INDEX('マスタ'!$M$2:$M$246,L95),"")</f>
        <v/>
      </c>
      <c r="F95" s="47">
        <f>IF(M95="I",INDEX('マスタ'!$F$2:$F$246,L95)&amp;"","")</f>
        <v/>
      </c>
      <c r="G95" s="48" t="n"/>
      <c r="I95" s="48">
        <f>IF(M95="I",IF(OR(G95="",D95=""),"",ROUND(D95*G95,0)),IF(M95="S",SUMIFS(I$24:I94,N$24:N94,N95,M$24:M94,"I"),""))</f>
        <v/>
      </c>
      <c r="K95" s="29" t="n"/>
      <c r="L95">
        <f>IFERROR(MATCH(72,'マスタ'!$N$2:$N$246,0),"")</f>
        <v/>
      </c>
      <c r="M95">
        <f>IF(L95="","",INDEX('マスタ'!$A$2:$A$246,L95))</f>
        <v/>
      </c>
      <c r="N95">
        <f>IF(L95="","",INDEX('マスタ'!$B$2:$B$246,L95))</f>
        <v/>
      </c>
    </row>
    <row r="96">
      <c r="A96" s="29">
        <f>IF(M96="T",INDEX('設定'!$H$23:$H$34,N96),"")</f>
        <v/>
      </c>
      <c r="B96" s="29">
        <f>IF(OR(L96="",M96="B"),"",INDEX('マスタ'!$C$2:$C$246,L96))</f>
        <v/>
      </c>
      <c r="C96" s="29">
        <f>IF(M96="I",INDEX('マスタ'!$D$2:$D$246,L96)&amp;"","")</f>
        <v/>
      </c>
      <c r="D96" s="30">
        <f>IF(M96="I",INDEX('マスタ'!$M$2:$M$246,L96),"")</f>
        <v/>
      </c>
      <c r="F96" s="47">
        <f>IF(M96="I",INDEX('マスタ'!$F$2:$F$246,L96)&amp;"","")</f>
        <v/>
      </c>
      <c r="G96" s="48" t="n"/>
      <c r="I96" s="48">
        <f>IF(M96="I",IF(OR(G96="",D96=""),"",ROUND(D96*G96,0)),IF(M96="S",SUMIFS(I$24:I95,N$24:N95,N96,M$24:M95,"I"),""))</f>
        <v/>
      </c>
      <c r="K96" s="29" t="n"/>
      <c r="L96">
        <f>IFERROR(MATCH(73,'マスタ'!$N$2:$N$246,0),"")</f>
        <v/>
      </c>
      <c r="M96">
        <f>IF(L96="","",INDEX('マスタ'!$A$2:$A$246,L96))</f>
        <v/>
      </c>
      <c r="N96">
        <f>IF(L96="","",INDEX('マスタ'!$B$2:$B$246,L96))</f>
        <v/>
      </c>
    </row>
    <row r="97">
      <c r="A97" s="29">
        <f>IF(M97="T",INDEX('設定'!$H$23:$H$34,N97),"")</f>
        <v/>
      </c>
      <c r="B97" s="29">
        <f>IF(OR(L97="",M97="B"),"",INDEX('マスタ'!$C$2:$C$246,L97))</f>
        <v/>
      </c>
      <c r="C97" s="29">
        <f>IF(M97="I",INDEX('マスタ'!$D$2:$D$246,L97)&amp;"","")</f>
        <v/>
      </c>
      <c r="D97" s="30">
        <f>IF(M97="I",INDEX('マスタ'!$M$2:$M$246,L97),"")</f>
        <v/>
      </c>
      <c r="F97" s="47">
        <f>IF(M97="I",INDEX('マスタ'!$F$2:$F$246,L97)&amp;"","")</f>
        <v/>
      </c>
      <c r="G97" s="48" t="n"/>
      <c r="I97" s="48">
        <f>IF(M97="I",IF(OR(G97="",D97=""),"",ROUND(D97*G97,0)),IF(M97="S",SUMIFS(I$24:I96,N$24:N96,N97,M$24:M96,"I"),""))</f>
        <v/>
      </c>
      <c r="K97" s="29" t="n"/>
      <c r="L97">
        <f>IFERROR(MATCH(74,'マスタ'!$N$2:$N$246,0),"")</f>
        <v/>
      </c>
      <c r="M97">
        <f>IF(L97="","",INDEX('マスタ'!$A$2:$A$246,L97))</f>
        <v/>
      </c>
      <c r="N97">
        <f>IF(L97="","",INDEX('マスタ'!$B$2:$B$246,L97))</f>
        <v/>
      </c>
    </row>
    <row r="98">
      <c r="A98" s="29">
        <f>IF(M98="T",INDEX('設定'!$H$23:$H$34,N98),"")</f>
        <v/>
      </c>
      <c r="B98" s="29">
        <f>IF(OR(L98="",M98="B"),"",INDEX('マスタ'!$C$2:$C$246,L98))</f>
        <v/>
      </c>
      <c r="C98" s="29">
        <f>IF(M98="I",INDEX('マスタ'!$D$2:$D$246,L98)&amp;"","")</f>
        <v/>
      </c>
      <c r="D98" s="30">
        <f>IF(M98="I",INDEX('マスタ'!$M$2:$M$246,L98),"")</f>
        <v/>
      </c>
      <c r="F98" s="47">
        <f>IF(M98="I",INDEX('マスタ'!$F$2:$F$246,L98)&amp;"","")</f>
        <v/>
      </c>
      <c r="G98" s="48" t="n"/>
      <c r="I98" s="48">
        <f>IF(M98="I",IF(OR(G98="",D98=""),"",ROUND(D98*G98,0)),IF(M98="S",SUMIFS(I$24:I97,N$24:N97,N98,M$24:M97,"I"),""))</f>
        <v/>
      </c>
      <c r="K98" s="29" t="n"/>
      <c r="L98">
        <f>IFERROR(MATCH(75,'マスタ'!$N$2:$N$246,0),"")</f>
        <v/>
      </c>
      <c r="M98">
        <f>IF(L98="","",INDEX('マスタ'!$A$2:$A$246,L98))</f>
        <v/>
      </c>
      <c r="N98">
        <f>IF(L98="","",INDEX('マスタ'!$B$2:$B$246,L98))</f>
        <v/>
      </c>
    </row>
    <row r="99">
      <c r="A99" s="29">
        <f>IF(M99="T",INDEX('設定'!$H$23:$H$34,N99),"")</f>
        <v/>
      </c>
      <c r="B99" s="29">
        <f>IF(OR(L99="",M99="B"),"",INDEX('マスタ'!$C$2:$C$246,L99))</f>
        <v/>
      </c>
      <c r="C99" s="29">
        <f>IF(M99="I",INDEX('マスタ'!$D$2:$D$246,L99)&amp;"","")</f>
        <v/>
      </c>
      <c r="D99" s="30">
        <f>IF(M99="I",INDEX('マスタ'!$M$2:$M$246,L99),"")</f>
        <v/>
      </c>
      <c r="F99" s="47">
        <f>IF(M99="I",INDEX('マスタ'!$F$2:$F$246,L99)&amp;"","")</f>
        <v/>
      </c>
      <c r="G99" s="48" t="n"/>
      <c r="I99" s="48">
        <f>IF(M99="I",IF(OR(G99="",D99=""),"",ROUND(D99*G99,0)),IF(M99="S",SUMIFS(I$24:I98,N$24:N98,N99,M$24:M98,"I"),""))</f>
        <v/>
      </c>
      <c r="K99" s="29" t="n"/>
      <c r="L99">
        <f>IFERROR(MATCH(76,'マスタ'!$N$2:$N$246,0),"")</f>
        <v/>
      </c>
      <c r="M99">
        <f>IF(L99="","",INDEX('マスタ'!$A$2:$A$246,L99))</f>
        <v/>
      </c>
      <c r="N99">
        <f>IF(L99="","",INDEX('マスタ'!$B$2:$B$246,L99))</f>
        <v/>
      </c>
    </row>
    <row r="100">
      <c r="A100" s="29">
        <f>IF(M100="T",INDEX('設定'!$H$23:$H$34,N100),"")</f>
        <v/>
      </c>
      <c r="B100" s="29">
        <f>IF(OR(L100="",M100="B"),"",INDEX('マスタ'!$C$2:$C$246,L100))</f>
        <v/>
      </c>
      <c r="C100" s="29">
        <f>IF(M100="I",INDEX('マスタ'!$D$2:$D$246,L100)&amp;"","")</f>
        <v/>
      </c>
      <c r="D100" s="30">
        <f>IF(M100="I",INDEX('マスタ'!$M$2:$M$246,L100),"")</f>
        <v/>
      </c>
      <c r="F100" s="47">
        <f>IF(M100="I",INDEX('マスタ'!$F$2:$F$246,L100)&amp;"","")</f>
        <v/>
      </c>
      <c r="G100" s="48" t="n"/>
      <c r="I100" s="48">
        <f>IF(M100="I",IF(OR(G100="",D100=""),"",ROUND(D100*G100,0)),IF(M100="S",SUMIFS(I$24:I99,N$24:N99,N100,M$24:M99,"I"),""))</f>
        <v/>
      </c>
      <c r="K100" s="29" t="n"/>
      <c r="L100">
        <f>IFERROR(MATCH(77,'マスタ'!$N$2:$N$246,0),"")</f>
        <v/>
      </c>
      <c r="M100">
        <f>IF(L100="","",INDEX('マスタ'!$A$2:$A$246,L100))</f>
        <v/>
      </c>
      <c r="N100">
        <f>IF(L100="","",INDEX('マスタ'!$B$2:$B$246,L100))</f>
        <v/>
      </c>
    </row>
    <row r="101">
      <c r="A101" s="29">
        <f>IF(M101="T",INDEX('設定'!$H$23:$H$34,N101),"")</f>
        <v/>
      </c>
      <c r="B101" s="29">
        <f>IF(OR(L101="",M101="B"),"",INDEX('マスタ'!$C$2:$C$246,L101))</f>
        <v/>
      </c>
      <c r="C101" s="29">
        <f>IF(M101="I",INDEX('マスタ'!$D$2:$D$246,L101)&amp;"","")</f>
        <v/>
      </c>
      <c r="D101" s="30">
        <f>IF(M101="I",INDEX('マスタ'!$M$2:$M$246,L101),"")</f>
        <v/>
      </c>
      <c r="F101" s="47">
        <f>IF(M101="I",INDEX('マスタ'!$F$2:$F$246,L101)&amp;"","")</f>
        <v/>
      </c>
      <c r="G101" s="48" t="n"/>
      <c r="I101" s="48">
        <f>IF(M101="I",IF(OR(G101="",D101=""),"",ROUND(D101*G101,0)),IF(M101="S",SUMIFS(I$24:I100,N$24:N100,N101,M$24:M100,"I"),""))</f>
        <v/>
      </c>
      <c r="K101" s="29" t="n"/>
      <c r="L101">
        <f>IFERROR(MATCH(78,'マスタ'!$N$2:$N$246,0),"")</f>
        <v/>
      </c>
      <c r="M101">
        <f>IF(L101="","",INDEX('マスタ'!$A$2:$A$246,L101))</f>
        <v/>
      </c>
      <c r="N101">
        <f>IF(L101="","",INDEX('マスタ'!$B$2:$B$246,L101))</f>
        <v/>
      </c>
    </row>
    <row r="102">
      <c r="A102" s="29">
        <f>IF(M102="T",INDEX('設定'!$H$23:$H$34,N102),"")</f>
        <v/>
      </c>
      <c r="B102" s="29">
        <f>IF(OR(L102="",M102="B"),"",INDEX('マスタ'!$C$2:$C$246,L102))</f>
        <v/>
      </c>
      <c r="C102" s="29">
        <f>IF(M102="I",INDEX('マスタ'!$D$2:$D$246,L102)&amp;"","")</f>
        <v/>
      </c>
      <c r="D102" s="30">
        <f>IF(M102="I",INDEX('マスタ'!$M$2:$M$246,L102),"")</f>
        <v/>
      </c>
      <c r="F102" s="47">
        <f>IF(M102="I",INDEX('マスタ'!$F$2:$F$246,L102)&amp;"","")</f>
        <v/>
      </c>
      <c r="G102" s="48" t="n"/>
      <c r="I102" s="48">
        <f>IF(M102="I",IF(OR(G102="",D102=""),"",ROUND(D102*G102,0)),IF(M102="S",SUMIFS(I$24:I101,N$24:N101,N102,M$24:M101,"I"),""))</f>
        <v/>
      </c>
      <c r="K102" s="29" t="n"/>
      <c r="L102">
        <f>IFERROR(MATCH(79,'マスタ'!$N$2:$N$246,0),"")</f>
        <v/>
      </c>
      <c r="M102">
        <f>IF(L102="","",INDEX('マスタ'!$A$2:$A$246,L102))</f>
        <v/>
      </c>
      <c r="N102">
        <f>IF(L102="","",INDEX('マスタ'!$B$2:$B$246,L102))</f>
        <v/>
      </c>
    </row>
    <row r="103">
      <c r="A103" s="29">
        <f>IF(M103="T",INDEX('設定'!$H$23:$H$34,N103),"")</f>
        <v/>
      </c>
      <c r="B103" s="29">
        <f>IF(OR(L103="",M103="B"),"",INDEX('マスタ'!$C$2:$C$246,L103))</f>
        <v/>
      </c>
      <c r="C103" s="29">
        <f>IF(M103="I",INDEX('マスタ'!$D$2:$D$246,L103)&amp;"","")</f>
        <v/>
      </c>
      <c r="D103" s="30">
        <f>IF(M103="I",INDEX('マスタ'!$M$2:$M$246,L103),"")</f>
        <v/>
      </c>
      <c r="F103" s="47">
        <f>IF(M103="I",INDEX('マスタ'!$F$2:$F$246,L103)&amp;"","")</f>
        <v/>
      </c>
      <c r="G103" s="48" t="n"/>
      <c r="I103" s="48">
        <f>IF(M103="I",IF(OR(G103="",D103=""),"",ROUND(D103*G103,0)),IF(M103="S",SUMIFS(I$24:I102,N$24:N102,N103,M$24:M102,"I"),""))</f>
        <v/>
      </c>
      <c r="K103" s="29" t="n"/>
      <c r="L103">
        <f>IFERROR(MATCH(80,'マスタ'!$N$2:$N$246,0),"")</f>
        <v/>
      </c>
      <c r="M103">
        <f>IF(L103="","",INDEX('マスタ'!$A$2:$A$246,L103))</f>
        <v/>
      </c>
      <c r="N103">
        <f>IF(L103="","",INDEX('マスタ'!$B$2:$B$246,L103))</f>
        <v/>
      </c>
    </row>
    <row r="104">
      <c r="A104" s="29">
        <f>IF(M104="T",INDEX('設定'!$H$23:$H$34,N104),"")</f>
        <v/>
      </c>
      <c r="B104" s="29">
        <f>IF(OR(L104="",M104="B"),"",INDEX('マスタ'!$C$2:$C$246,L104))</f>
        <v/>
      </c>
      <c r="C104" s="29">
        <f>IF(M104="I",INDEX('マスタ'!$D$2:$D$246,L104)&amp;"","")</f>
        <v/>
      </c>
      <c r="D104" s="30">
        <f>IF(M104="I",INDEX('マスタ'!$M$2:$M$246,L104),"")</f>
        <v/>
      </c>
      <c r="F104" s="47">
        <f>IF(M104="I",INDEX('マスタ'!$F$2:$F$246,L104)&amp;"","")</f>
        <v/>
      </c>
      <c r="G104" s="48" t="n"/>
      <c r="I104" s="48">
        <f>IF(M104="I",IF(OR(G104="",D104=""),"",ROUND(D104*G104,0)),IF(M104="S",SUMIFS(I$24:I103,N$24:N103,N104,M$24:M103,"I"),""))</f>
        <v/>
      </c>
      <c r="K104" s="29" t="n"/>
      <c r="L104">
        <f>IFERROR(MATCH(81,'マスタ'!$N$2:$N$246,0),"")</f>
        <v/>
      </c>
      <c r="M104">
        <f>IF(L104="","",INDEX('マスタ'!$A$2:$A$246,L104))</f>
        <v/>
      </c>
      <c r="N104">
        <f>IF(L104="","",INDEX('マスタ'!$B$2:$B$246,L104))</f>
        <v/>
      </c>
    </row>
    <row r="105">
      <c r="A105" s="29">
        <f>IF(M105="T",INDEX('設定'!$H$23:$H$34,N105),"")</f>
        <v/>
      </c>
      <c r="B105" s="29">
        <f>IF(OR(L105="",M105="B"),"",INDEX('マスタ'!$C$2:$C$246,L105))</f>
        <v/>
      </c>
      <c r="C105" s="29">
        <f>IF(M105="I",INDEX('マスタ'!$D$2:$D$246,L105)&amp;"","")</f>
        <v/>
      </c>
      <c r="D105" s="30">
        <f>IF(M105="I",INDEX('マスタ'!$M$2:$M$246,L105),"")</f>
        <v/>
      </c>
      <c r="F105" s="47">
        <f>IF(M105="I",INDEX('マスタ'!$F$2:$F$246,L105)&amp;"","")</f>
        <v/>
      </c>
      <c r="G105" s="48" t="n"/>
      <c r="I105" s="48">
        <f>IF(M105="I",IF(OR(G105="",D105=""),"",ROUND(D105*G105,0)),IF(M105="S",SUMIFS(I$24:I104,N$24:N104,N105,M$24:M104,"I"),""))</f>
        <v/>
      </c>
      <c r="K105" s="29" t="n"/>
      <c r="L105">
        <f>IFERROR(MATCH(82,'マスタ'!$N$2:$N$246,0),"")</f>
        <v/>
      </c>
      <c r="M105">
        <f>IF(L105="","",INDEX('マスタ'!$A$2:$A$246,L105))</f>
        <v/>
      </c>
      <c r="N105">
        <f>IF(L105="","",INDEX('マスタ'!$B$2:$B$246,L105))</f>
        <v/>
      </c>
    </row>
    <row r="106">
      <c r="A106" s="29">
        <f>IF(M106="T",INDEX('設定'!$H$23:$H$34,N106),"")</f>
        <v/>
      </c>
      <c r="B106" s="29">
        <f>IF(OR(L106="",M106="B"),"",INDEX('マスタ'!$C$2:$C$246,L106))</f>
        <v/>
      </c>
      <c r="C106" s="29">
        <f>IF(M106="I",INDEX('マスタ'!$D$2:$D$246,L106)&amp;"","")</f>
        <v/>
      </c>
      <c r="D106" s="30">
        <f>IF(M106="I",INDEX('マスタ'!$M$2:$M$246,L106),"")</f>
        <v/>
      </c>
      <c r="F106" s="47">
        <f>IF(M106="I",INDEX('マスタ'!$F$2:$F$246,L106)&amp;"","")</f>
        <v/>
      </c>
      <c r="G106" s="48" t="n"/>
      <c r="I106" s="48">
        <f>IF(M106="I",IF(OR(G106="",D106=""),"",ROUND(D106*G106,0)),IF(M106="S",SUMIFS(I$24:I105,N$24:N105,N106,M$24:M105,"I"),""))</f>
        <v/>
      </c>
      <c r="K106" s="29" t="n"/>
      <c r="L106">
        <f>IFERROR(MATCH(83,'マスタ'!$N$2:$N$246,0),"")</f>
        <v/>
      </c>
      <c r="M106">
        <f>IF(L106="","",INDEX('マスタ'!$A$2:$A$246,L106))</f>
        <v/>
      </c>
      <c r="N106">
        <f>IF(L106="","",INDEX('マスタ'!$B$2:$B$246,L106))</f>
        <v/>
      </c>
    </row>
    <row r="107">
      <c r="A107" s="29">
        <f>IF(M107="T",INDEX('設定'!$H$23:$H$34,N107),"")</f>
        <v/>
      </c>
      <c r="B107" s="29">
        <f>IF(OR(L107="",M107="B"),"",INDEX('マスタ'!$C$2:$C$246,L107))</f>
        <v/>
      </c>
      <c r="C107" s="29">
        <f>IF(M107="I",INDEX('マスタ'!$D$2:$D$246,L107)&amp;"","")</f>
        <v/>
      </c>
      <c r="D107" s="30">
        <f>IF(M107="I",INDEX('マスタ'!$M$2:$M$246,L107),"")</f>
        <v/>
      </c>
      <c r="F107" s="47">
        <f>IF(M107="I",INDEX('マスタ'!$F$2:$F$246,L107)&amp;"","")</f>
        <v/>
      </c>
      <c r="G107" s="48" t="n"/>
      <c r="I107" s="48">
        <f>IF(M107="I",IF(OR(G107="",D107=""),"",ROUND(D107*G107,0)),IF(M107="S",SUMIFS(I$24:I106,N$24:N106,N107,M$24:M106,"I"),""))</f>
        <v/>
      </c>
      <c r="K107" s="29" t="n"/>
      <c r="L107">
        <f>IFERROR(MATCH(84,'マスタ'!$N$2:$N$246,0),"")</f>
        <v/>
      </c>
      <c r="M107">
        <f>IF(L107="","",INDEX('マスタ'!$A$2:$A$246,L107))</f>
        <v/>
      </c>
      <c r="N107">
        <f>IF(L107="","",INDEX('マスタ'!$B$2:$B$246,L107))</f>
        <v/>
      </c>
    </row>
    <row r="108">
      <c r="A108" s="29">
        <f>IF(M108="T",INDEX('設定'!$H$23:$H$34,N108),"")</f>
        <v/>
      </c>
      <c r="B108" s="29">
        <f>IF(OR(L108="",M108="B"),"",INDEX('マスタ'!$C$2:$C$246,L108))</f>
        <v/>
      </c>
      <c r="C108" s="29">
        <f>IF(M108="I",INDEX('マスタ'!$D$2:$D$246,L108)&amp;"","")</f>
        <v/>
      </c>
      <c r="D108" s="30">
        <f>IF(M108="I",INDEX('マスタ'!$M$2:$M$246,L108),"")</f>
        <v/>
      </c>
      <c r="F108" s="47">
        <f>IF(M108="I",INDEX('マスタ'!$F$2:$F$246,L108)&amp;"","")</f>
        <v/>
      </c>
      <c r="G108" s="48" t="n"/>
      <c r="I108" s="48">
        <f>IF(M108="I",IF(OR(G108="",D108=""),"",ROUND(D108*G108,0)),IF(M108="S",SUMIFS(I$24:I107,N$24:N107,N108,M$24:M107,"I"),""))</f>
        <v/>
      </c>
      <c r="K108" s="29" t="n"/>
      <c r="L108">
        <f>IFERROR(MATCH(85,'マスタ'!$N$2:$N$246,0),"")</f>
        <v/>
      </c>
      <c r="M108">
        <f>IF(L108="","",INDEX('マスタ'!$A$2:$A$246,L108))</f>
        <v/>
      </c>
      <c r="N108">
        <f>IF(L108="","",INDEX('マスタ'!$B$2:$B$246,L108))</f>
        <v/>
      </c>
    </row>
    <row r="109">
      <c r="A109" s="29">
        <f>IF(M109="T",INDEX('設定'!$H$23:$H$34,N109),"")</f>
        <v/>
      </c>
      <c r="B109" s="29">
        <f>IF(OR(L109="",M109="B"),"",INDEX('マスタ'!$C$2:$C$246,L109))</f>
        <v/>
      </c>
      <c r="C109" s="29">
        <f>IF(M109="I",INDEX('マスタ'!$D$2:$D$246,L109)&amp;"","")</f>
        <v/>
      </c>
      <c r="D109" s="30">
        <f>IF(M109="I",INDEX('マスタ'!$M$2:$M$246,L109),"")</f>
        <v/>
      </c>
      <c r="F109" s="47">
        <f>IF(M109="I",INDEX('マスタ'!$F$2:$F$246,L109)&amp;"","")</f>
        <v/>
      </c>
      <c r="G109" s="48" t="n"/>
      <c r="I109" s="48">
        <f>IF(M109="I",IF(OR(G109="",D109=""),"",ROUND(D109*G109,0)),IF(M109="S",SUMIFS(I$24:I108,N$24:N108,N109,M$24:M108,"I"),""))</f>
        <v/>
      </c>
      <c r="K109" s="29" t="n"/>
      <c r="L109">
        <f>IFERROR(MATCH(86,'マスタ'!$N$2:$N$246,0),"")</f>
        <v/>
      </c>
      <c r="M109">
        <f>IF(L109="","",INDEX('マスタ'!$A$2:$A$246,L109))</f>
        <v/>
      </c>
      <c r="N109">
        <f>IF(L109="","",INDEX('マスタ'!$B$2:$B$246,L109))</f>
        <v/>
      </c>
    </row>
    <row r="110">
      <c r="A110" s="29">
        <f>IF(M110="T",INDEX('設定'!$H$23:$H$34,N110),"")</f>
        <v/>
      </c>
      <c r="B110" s="29">
        <f>IF(OR(L110="",M110="B"),"",INDEX('マスタ'!$C$2:$C$246,L110))</f>
        <v/>
      </c>
      <c r="C110" s="29">
        <f>IF(M110="I",INDEX('マスタ'!$D$2:$D$246,L110)&amp;"","")</f>
        <v/>
      </c>
      <c r="D110" s="30">
        <f>IF(M110="I",INDEX('マスタ'!$M$2:$M$246,L110),"")</f>
        <v/>
      </c>
      <c r="F110" s="47">
        <f>IF(M110="I",INDEX('マスタ'!$F$2:$F$246,L110)&amp;"","")</f>
        <v/>
      </c>
      <c r="G110" s="48" t="n"/>
      <c r="I110" s="48">
        <f>IF(M110="I",IF(OR(G110="",D110=""),"",ROUND(D110*G110,0)),IF(M110="S",SUMIFS(I$24:I109,N$24:N109,N110,M$24:M109,"I"),""))</f>
        <v/>
      </c>
      <c r="K110" s="29" t="n"/>
      <c r="L110">
        <f>IFERROR(MATCH(87,'マスタ'!$N$2:$N$246,0),"")</f>
        <v/>
      </c>
      <c r="M110">
        <f>IF(L110="","",INDEX('マスタ'!$A$2:$A$246,L110))</f>
        <v/>
      </c>
      <c r="N110">
        <f>IF(L110="","",INDEX('マスタ'!$B$2:$B$246,L110))</f>
        <v/>
      </c>
    </row>
    <row r="111">
      <c r="A111" s="29">
        <f>IF(M111="T",INDEX('設定'!$H$23:$H$34,N111),"")</f>
        <v/>
      </c>
      <c r="B111" s="29">
        <f>IF(OR(L111="",M111="B"),"",INDEX('マスタ'!$C$2:$C$246,L111))</f>
        <v/>
      </c>
      <c r="C111" s="29">
        <f>IF(M111="I",INDEX('マスタ'!$D$2:$D$246,L111)&amp;"","")</f>
        <v/>
      </c>
      <c r="D111" s="30">
        <f>IF(M111="I",INDEX('マスタ'!$M$2:$M$246,L111),"")</f>
        <v/>
      </c>
      <c r="F111" s="47">
        <f>IF(M111="I",INDEX('マスタ'!$F$2:$F$246,L111)&amp;"","")</f>
        <v/>
      </c>
      <c r="G111" s="48" t="n"/>
      <c r="I111" s="48">
        <f>IF(M111="I",IF(OR(G111="",D111=""),"",ROUND(D111*G111,0)),IF(M111="S",SUMIFS(I$24:I110,N$24:N110,N111,M$24:M110,"I"),""))</f>
        <v/>
      </c>
      <c r="K111" s="29" t="n"/>
      <c r="L111">
        <f>IFERROR(MATCH(88,'マスタ'!$N$2:$N$246,0),"")</f>
        <v/>
      </c>
      <c r="M111">
        <f>IF(L111="","",INDEX('マスタ'!$A$2:$A$246,L111))</f>
        <v/>
      </c>
      <c r="N111">
        <f>IF(L111="","",INDEX('マスタ'!$B$2:$B$246,L111))</f>
        <v/>
      </c>
    </row>
    <row r="112">
      <c r="A112" s="29">
        <f>IF(M112="T",INDEX('設定'!$H$23:$H$34,N112),"")</f>
        <v/>
      </c>
      <c r="B112" s="29">
        <f>IF(OR(L112="",M112="B"),"",INDEX('マスタ'!$C$2:$C$246,L112))</f>
        <v/>
      </c>
      <c r="C112" s="29">
        <f>IF(M112="I",INDEX('マスタ'!$D$2:$D$246,L112)&amp;"","")</f>
        <v/>
      </c>
      <c r="D112" s="30">
        <f>IF(M112="I",INDEX('マスタ'!$M$2:$M$246,L112),"")</f>
        <v/>
      </c>
      <c r="F112" s="47">
        <f>IF(M112="I",INDEX('マスタ'!$F$2:$F$246,L112)&amp;"","")</f>
        <v/>
      </c>
      <c r="G112" s="48" t="n"/>
      <c r="I112" s="48">
        <f>IF(M112="I",IF(OR(G112="",D112=""),"",ROUND(D112*G112,0)),IF(M112="S",SUMIFS(I$24:I111,N$24:N111,N112,M$24:M111,"I"),""))</f>
        <v/>
      </c>
      <c r="K112" s="29" t="n"/>
      <c r="L112">
        <f>IFERROR(MATCH(89,'マスタ'!$N$2:$N$246,0),"")</f>
        <v/>
      </c>
      <c r="M112">
        <f>IF(L112="","",INDEX('マスタ'!$A$2:$A$246,L112))</f>
        <v/>
      </c>
      <c r="N112">
        <f>IF(L112="","",INDEX('マスタ'!$B$2:$B$246,L112))</f>
        <v/>
      </c>
    </row>
    <row r="113">
      <c r="A113" s="29">
        <f>IF(M113="T",INDEX('設定'!$H$23:$H$34,N113),"")</f>
        <v/>
      </c>
      <c r="B113" s="29">
        <f>IF(OR(L113="",M113="B"),"",INDEX('マスタ'!$C$2:$C$246,L113))</f>
        <v/>
      </c>
      <c r="C113" s="29">
        <f>IF(M113="I",INDEX('マスタ'!$D$2:$D$246,L113)&amp;"","")</f>
        <v/>
      </c>
      <c r="D113" s="30">
        <f>IF(M113="I",INDEX('マスタ'!$M$2:$M$246,L113),"")</f>
        <v/>
      </c>
      <c r="F113" s="47">
        <f>IF(M113="I",INDEX('マスタ'!$F$2:$F$246,L113)&amp;"","")</f>
        <v/>
      </c>
      <c r="G113" s="48" t="n"/>
      <c r="I113" s="48">
        <f>IF(M113="I",IF(OR(G113="",D113=""),"",ROUND(D113*G113,0)),IF(M113="S",SUMIFS(I$24:I112,N$24:N112,N113,M$24:M112,"I"),""))</f>
        <v/>
      </c>
      <c r="K113" s="29" t="n"/>
      <c r="L113">
        <f>IFERROR(MATCH(90,'マスタ'!$N$2:$N$246,0),"")</f>
        <v/>
      </c>
      <c r="M113">
        <f>IF(L113="","",INDEX('マスタ'!$A$2:$A$246,L113))</f>
        <v/>
      </c>
      <c r="N113">
        <f>IF(L113="","",INDEX('マスタ'!$B$2:$B$246,L113))</f>
        <v/>
      </c>
    </row>
    <row r="114">
      <c r="A114" s="29">
        <f>IF(M114="T",INDEX('設定'!$H$23:$H$34,N114),"")</f>
        <v/>
      </c>
      <c r="B114" s="29">
        <f>IF(OR(L114="",M114="B"),"",INDEX('マスタ'!$C$2:$C$246,L114))</f>
        <v/>
      </c>
      <c r="C114" s="29">
        <f>IF(M114="I",INDEX('マスタ'!$D$2:$D$246,L114)&amp;"","")</f>
        <v/>
      </c>
      <c r="D114" s="30">
        <f>IF(M114="I",INDEX('マスタ'!$M$2:$M$246,L114),"")</f>
        <v/>
      </c>
      <c r="F114" s="47">
        <f>IF(M114="I",INDEX('マスタ'!$F$2:$F$246,L114)&amp;"","")</f>
        <v/>
      </c>
      <c r="G114" s="48" t="n"/>
      <c r="I114" s="48">
        <f>IF(M114="I",IF(OR(G114="",D114=""),"",ROUND(D114*G114,0)),IF(M114="S",SUMIFS(I$24:I113,N$24:N113,N114,M$24:M113,"I"),""))</f>
        <v/>
      </c>
      <c r="K114" s="29" t="n"/>
      <c r="L114">
        <f>IFERROR(MATCH(91,'マスタ'!$N$2:$N$246,0),"")</f>
        <v/>
      </c>
      <c r="M114">
        <f>IF(L114="","",INDEX('マスタ'!$A$2:$A$246,L114))</f>
        <v/>
      </c>
      <c r="N114">
        <f>IF(L114="","",INDEX('マスタ'!$B$2:$B$246,L114))</f>
        <v/>
      </c>
    </row>
    <row r="115">
      <c r="A115" s="29">
        <f>IF(M115="T",INDEX('設定'!$H$23:$H$34,N115),"")</f>
        <v/>
      </c>
      <c r="B115" s="29">
        <f>IF(OR(L115="",M115="B"),"",INDEX('マスタ'!$C$2:$C$246,L115))</f>
        <v/>
      </c>
      <c r="C115" s="29">
        <f>IF(M115="I",INDEX('マスタ'!$D$2:$D$246,L115)&amp;"","")</f>
        <v/>
      </c>
      <c r="D115" s="30">
        <f>IF(M115="I",INDEX('マスタ'!$M$2:$M$246,L115),"")</f>
        <v/>
      </c>
      <c r="F115" s="47">
        <f>IF(M115="I",INDEX('マスタ'!$F$2:$F$246,L115)&amp;"","")</f>
        <v/>
      </c>
      <c r="G115" s="48" t="n"/>
      <c r="I115" s="48">
        <f>IF(M115="I",IF(OR(G115="",D115=""),"",ROUND(D115*G115,0)),IF(M115="S",SUMIFS(I$24:I114,N$24:N114,N115,M$24:M114,"I"),""))</f>
        <v/>
      </c>
      <c r="K115" s="29" t="n"/>
      <c r="L115">
        <f>IFERROR(MATCH(92,'マスタ'!$N$2:$N$246,0),"")</f>
        <v/>
      </c>
      <c r="M115">
        <f>IF(L115="","",INDEX('マスタ'!$A$2:$A$246,L115))</f>
        <v/>
      </c>
      <c r="N115">
        <f>IF(L115="","",INDEX('マスタ'!$B$2:$B$246,L115))</f>
        <v/>
      </c>
    </row>
    <row r="116">
      <c r="A116" s="29">
        <f>IF(M116="T",INDEX('設定'!$H$23:$H$34,N116),"")</f>
        <v/>
      </c>
      <c r="B116" s="29">
        <f>IF(OR(L116="",M116="B"),"",INDEX('マスタ'!$C$2:$C$246,L116))</f>
        <v/>
      </c>
      <c r="C116" s="29">
        <f>IF(M116="I",INDEX('マスタ'!$D$2:$D$246,L116)&amp;"","")</f>
        <v/>
      </c>
      <c r="D116" s="30">
        <f>IF(M116="I",INDEX('マスタ'!$M$2:$M$246,L116),"")</f>
        <v/>
      </c>
      <c r="F116" s="47">
        <f>IF(M116="I",INDEX('マスタ'!$F$2:$F$246,L116)&amp;"","")</f>
        <v/>
      </c>
      <c r="G116" s="48" t="n"/>
      <c r="I116" s="48">
        <f>IF(M116="I",IF(OR(G116="",D116=""),"",ROUND(D116*G116,0)),IF(M116="S",SUMIFS(I$24:I115,N$24:N115,N116,M$24:M115,"I"),""))</f>
        <v/>
      </c>
      <c r="K116" s="29" t="n"/>
      <c r="L116">
        <f>IFERROR(MATCH(93,'マスタ'!$N$2:$N$246,0),"")</f>
        <v/>
      </c>
      <c r="M116">
        <f>IF(L116="","",INDEX('マスタ'!$A$2:$A$246,L116))</f>
        <v/>
      </c>
      <c r="N116">
        <f>IF(L116="","",INDEX('マスタ'!$B$2:$B$246,L116))</f>
        <v/>
      </c>
    </row>
    <row r="117">
      <c r="A117" s="29">
        <f>IF(M117="T",INDEX('設定'!$H$23:$H$34,N117),"")</f>
        <v/>
      </c>
      <c r="B117" s="29">
        <f>IF(OR(L117="",M117="B"),"",INDEX('マスタ'!$C$2:$C$246,L117))</f>
        <v/>
      </c>
      <c r="C117" s="29">
        <f>IF(M117="I",INDEX('マスタ'!$D$2:$D$246,L117)&amp;"","")</f>
        <v/>
      </c>
      <c r="D117" s="30">
        <f>IF(M117="I",INDEX('マスタ'!$M$2:$M$246,L117),"")</f>
        <v/>
      </c>
      <c r="F117" s="47">
        <f>IF(M117="I",INDEX('マスタ'!$F$2:$F$246,L117)&amp;"","")</f>
        <v/>
      </c>
      <c r="G117" s="48" t="n"/>
      <c r="I117" s="48">
        <f>IF(M117="I",IF(OR(G117="",D117=""),"",ROUND(D117*G117,0)),IF(M117="S",SUMIFS(I$24:I116,N$24:N116,N117,M$24:M116,"I"),""))</f>
        <v/>
      </c>
      <c r="K117" s="29" t="n"/>
      <c r="L117">
        <f>IFERROR(MATCH(94,'マスタ'!$N$2:$N$246,0),"")</f>
        <v/>
      </c>
      <c r="M117">
        <f>IF(L117="","",INDEX('マスタ'!$A$2:$A$246,L117))</f>
        <v/>
      </c>
      <c r="N117">
        <f>IF(L117="","",INDEX('マスタ'!$B$2:$B$246,L117))</f>
        <v/>
      </c>
    </row>
    <row r="118">
      <c r="A118" s="29">
        <f>IF(M118="T",INDEX('設定'!$H$23:$H$34,N118),"")</f>
        <v/>
      </c>
      <c r="B118" s="29">
        <f>IF(OR(L118="",M118="B"),"",INDEX('マスタ'!$C$2:$C$246,L118))</f>
        <v/>
      </c>
      <c r="C118" s="29">
        <f>IF(M118="I",INDEX('マスタ'!$D$2:$D$246,L118)&amp;"","")</f>
        <v/>
      </c>
      <c r="D118" s="30">
        <f>IF(M118="I",INDEX('マスタ'!$M$2:$M$246,L118),"")</f>
        <v/>
      </c>
      <c r="F118" s="47">
        <f>IF(M118="I",INDEX('マスタ'!$F$2:$F$246,L118)&amp;"","")</f>
        <v/>
      </c>
      <c r="G118" s="48" t="n"/>
      <c r="I118" s="48">
        <f>IF(M118="I",IF(OR(G118="",D118=""),"",ROUND(D118*G118,0)),IF(M118="S",SUMIFS(I$24:I117,N$24:N117,N118,M$24:M117,"I"),""))</f>
        <v/>
      </c>
      <c r="K118" s="29" t="n"/>
      <c r="L118">
        <f>IFERROR(MATCH(95,'マスタ'!$N$2:$N$246,0),"")</f>
        <v/>
      </c>
      <c r="M118">
        <f>IF(L118="","",INDEX('マスタ'!$A$2:$A$246,L118))</f>
        <v/>
      </c>
      <c r="N118">
        <f>IF(L118="","",INDEX('マスタ'!$B$2:$B$246,L118))</f>
        <v/>
      </c>
    </row>
    <row r="119">
      <c r="A119" s="29">
        <f>IF(M119="T",INDEX('設定'!$H$23:$H$34,N119),"")</f>
        <v/>
      </c>
      <c r="B119" s="29">
        <f>IF(OR(L119="",M119="B"),"",INDEX('マスタ'!$C$2:$C$246,L119))</f>
        <v/>
      </c>
      <c r="C119" s="29">
        <f>IF(M119="I",INDEX('マスタ'!$D$2:$D$246,L119)&amp;"","")</f>
        <v/>
      </c>
      <c r="D119" s="30">
        <f>IF(M119="I",INDEX('マスタ'!$M$2:$M$246,L119),"")</f>
        <v/>
      </c>
      <c r="F119" s="47">
        <f>IF(M119="I",INDEX('マスタ'!$F$2:$F$246,L119)&amp;"","")</f>
        <v/>
      </c>
      <c r="G119" s="48" t="n"/>
      <c r="I119" s="48">
        <f>IF(M119="I",IF(OR(G119="",D119=""),"",ROUND(D119*G119,0)),IF(M119="S",SUMIFS(I$24:I118,N$24:N118,N119,M$24:M118,"I"),""))</f>
        <v/>
      </c>
      <c r="K119" s="29" t="n"/>
      <c r="L119">
        <f>IFERROR(MATCH(96,'マスタ'!$N$2:$N$246,0),"")</f>
        <v/>
      </c>
      <c r="M119">
        <f>IF(L119="","",INDEX('マスタ'!$A$2:$A$246,L119))</f>
        <v/>
      </c>
      <c r="N119">
        <f>IF(L119="","",INDEX('マスタ'!$B$2:$B$246,L119))</f>
        <v/>
      </c>
    </row>
    <row r="120">
      <c r="A120" s="29">
        <f>IF(M120="T",INDEX('設定'!$H$23:$H$34,N120),"")</f>
        <v/>
      </c>
      <c r="B120" s="29">
        <f>IF(OR(L120="",M120="B"),"",INDEX('マスタ'!$C$2:$C$246,L120))</f>
        <v/>
      </c>
      <c r="C120" s="29">
        <f>IF(M120="I",INDEX('マスタ'!$D$2:$D$246,L120)&amp;"","")</f>
        <v/>
      </c>
      <c r="D120" s="30">
        <f>IF(M120="I",INDEX('マスタ'!$M$2:$M$246,L120),"")</f>
        <v/>
      </c>
      <c r="F120" s="47">
        <f>IF(M120="I",INDEX('マスタ'!$F$2:$F$246,L120)&amp;"","")</f>
        <v/>
      </c>
      <c r="G120" s="48" t="n"/>
      <c r="I120" s="48">
        <f>IF(M120="I",IF(OR(G120="",D120=""),"",ROUND(D120*G120,0)),IF(M120="S",SUMIFS(I$24:I119,N$24:N119,N120,M$24:M119,"I"),""))</f>
        <v/>
      </c>
      <c r="K120" s="29" t="n"/>
      <c r="L120">
        <f>IFERROR(MATCH(97,'マスタ'!$N$2:$N$246,0),"")</f>
        <v/>
      </c>
      <c r="M120">
        <f>IF(L120="","",INDEX('マスタ'!$A$2:$A$246,L120))</f>
        <v/>
      </c>
      <c r="N120">
        <f>IF(L120="","",INDEX('マスタ'!$B$2:$B$246,L120))</f>
        <v/>
      </c>
    </row>
    <row r="121">
      <c r="A121" s="29">
        <f>IF(M121="T",INDEX('設定'!$H$23:$H$34,N121),"")</f>
        <v/>
      </c>
      <c r="B121" s="29">
        <f>IF(OR(L121="",M121="B"),"",INDEX('マスタ'!$C$2:$C$246,L121))</f>
        <v/>
      </c>
      <c r="C121" s="29">
        <f>IF(M121="I",INDEX('マスタ'!$D$2:$D$246,L121)&amp;"","")</f>
        <v/>
      </c>
      <c r="D121" s="30">
        <f>IF(M121="I",INDEX('マスタ'!$M$2:$M$246,L121),"")</f>
        <v/>
      </c>
      <c r="F121" s="47">
        <f>IF(M121="I",INDEX('マスタ'!$F$2:$F$246,L121)&amp;"","")</f>
        <v/>
      </c>
      <c r="G121" s="48" t="n"/>
      <c r="I121" s="48">
        <f>IF(M121="I",IF(OR(G121="",D121=""),"",ROUND(D121*G121,0)),IF(M121="S",SUMIFS(I$24:I120,N$24:N120,N121,M$24:M120,"I"),""))</f>
        <v/>
      </c>
      <c r="K121" s="29" t="n"/>
      <c r="L121">
        <f>IFERROR(MATCH(98,'マスタ'!$N$2:$N$246,0),"")</f>
        <v/>
      </c>
      <c r="M121">
        <f>IF(L121="","",INDEX('マスタ'!$A$2:$A$246,L121))</f>
        <v/>
      </c>
      <c r="N121">
        <f>IF(L121="","",INDEX('マスタ'!$B$2:$B$246,L121))</f>
        <v/>
      </c>
    </row>
    <row r="122">
      <c r="A122" s="29">
        <f>IF(M122="T",INDEX('設定'!$H$23:$H$34,N122),"")</f>
        <v/>
      </c>
      <c r="B122" s="29">
        <f>IF(OR(L122="",M122="B"),"",INDEX('マスタ'!$C$2:$C$246,L122))</f>
        <v/>
      </c>
      <c r="C122" s="29">
        <f>IF(M122="I",INDEX('マスタ'!$D$2:$D$246,L122)&amp;"","")</f>
        <v/>
      </c>
      <c r="D122" s="30">
        <f>IF(M122="I",INDEX('マスタ'!$M$2:$M$246,L122),"")</f>
        <v/>
      </c>
      <c r="F122" s="47">
        <f>IF(M122="I",INDEX('マスタ'!$F$2:$F$246,L122)&amp;"","")</f>
        <v/>
      </c>
      <c r="G122" s="48" t="n"/>
      <c r="I122" s="48">
        <f>IF(M122="I",IF(OR(G122="",D122=""),"",ROUND(D122*G122,0)),IF(M122="S",SUMIFS(I$24:I121,N$24:N121,N122,M$24:M121,"I"),""))</f>
        <v/>
      </c>
      <c r="K122" s="29" t="n"/>
      <c r="L122">
        <f>IFERROR(MATCH(99,'マスタ'!$N$2:$N$246,0),"")</f>
        <v/>
      </c>
      <c r="M122">
        <f>IF(L122="","",INDEX('マスタ'!$A$2:$A$246,L122))</f>
        <v/>
      </c>
      <c r="N122">
        <f>IF(L122="","",INDEX('マスタ'!$B$2:$B$246,L122))</f>
        <v/>
      </c>
    </row>
    <row r="123">
      <c r="A123" s="29">
        <f>IF(M123="T",INDEX('設定'!$H$23:$H$34,N123),"")</f>
        <v/>
      </c>
      <c r="B123" s="29">
        <f>IF(OR(L123="",M123="B"),"",INDEX('マスタ'!$C$2:$C$246,L123))</f>
        <v/>
      </c>
      <c r="C123" s="29">
        <f>IF(M123="I",INDEX('マスタ'!$D$2:$D$246,L123)&amp;"","")</f>
        <v/>
      </c>
      <c r="D123" s="30">
        <f>IF(M123="I",INDEX('マスタ'!$M$2:$M$246,L123),"")</f>
        <v/>
      </c>
      <c r="F123" s="47">
        <f>IF(M123="I",INDEX('マスタ'!$F$2:$F$246,L123)&amp;"","")</f>
        <v/>
      </c>
      <c r="G123" s="48" t="n"/>
      <c r="I123" s="48">
        <f>IF(M123="I",IF(OR(G123="",D123=""),"",ROUND(D123*G123,0)),IF(M123="S",SUMIFS(I$24:I122,N$24:N122,N123,M$24:M122,"I"),""))</f>
        <v/>
      </c>
      <c r="K123" s="29" t="n"/>
      <c r="L123">
        <f>IFERROR(MATCH(100,'マスタ'!$N$2:$N$246,0),"")</f>
        <v/>
      </c>
      <c r="M123">
        <f>IF(L123="","",INDEX('マスタ'!$A$2:$A$246,L123))</f>
        <v/>
      </c>
      <c r="N123">
        <f>IF(L123="","",INDEX('マスタ'!$B$2:$B$246,L123))</f>
        <v/>
      </c>
    </row>
    <row r="124">
      <c r="A124" s="29">
        <f>IF(M124="T",INDEX('設定'!$H$23:$H$34,N124),"")</f>
        <v/>
      </c>
      <c r="B124" s="29">
        <f>IF(OR(L124="",M124="B"),"",INDEX('マスタ'!$C$2:$C$246,L124))</f>
        <v/>
      </c>
      <c r="C124" s="29">
        <f>IF(M124="I",INDEX('マスタ'!$D$2:$D$246,L124)&amp;"","")</f>
        <v/>
      </c>
      <c r="D124" s="30">
        <f>IF(M124="I",INDEX('マスタ'!$M$2:$M$246,L124),"")</f>
        <v/>
      </c>
      <c r="F124" s="47">
        <f>IF(M124="I",INDEX('マスタ'!$F$2:$F$246,L124)&amp;"","")</f>
        <v/>
      </c>
      <c r="G124" s="48" t="n"/>
      <c r="I124" s="48">
        <f>IF(M124="I",IF(OR(G124="",D124=""),"",ROUND(D124*G124,0)),IF(M124="S",SUMIFS(I$24:I123,N$24:N123,N124,M$24:M123,"I"),""))</f>
        <v/>
      </c>
      <c r="K124" s="29" t="n"/>
      <c r="L124">
        <f>IFERROR(MATCH(101,'マスタ'!$N$2:$N$246,0),"")</f>
        <v/>
      </c>
      <c r="M124">
        <f>IF(L124="","",INDEX('マスタ'!$A$2:$A$246,L124))</f>
        <v/>
      </c>
      <c r="N124">
        <f>IF(L124="","",INDEX('マスタ'!$B$2:$B$246,L124))</f>
        <v/>
      </c>
    </row>
    <row r="125">
      <c r="A125" s="29">
        <f>IF(M125="T",INDEX('設定'!$H$23:$H$34,N125),"")</f>
        <v/>
      </c>
      <c r="B125" s="29">
        <f>IF(OR(L125="",M125="B"),"",INDEX('マスタ'!$C$2:$C$246,L125))</f>
        <v/>
      </c>
      <c r="C125" s="29">
        <f>IF(M125="I",INDEX('マスタ'!$D$2:$D$246,L125)&amp;"","")</f>
        <v/>
      </c>
      <c r="D125" s="30">
        <f>IF(M125="I",INDEX('マスタ'!$M$2:$M$246,L125),"")</f>
        <v/>
      </c>
      <c r="F125" s="47">
        <f>IF(M125="I",INDEX('マスタ'!$F$2:$F$246,L125)&amp;"","")</f>
        <v/>
      </c>
      <c r="G125" s="48" t="n"/>
      <c r="I125" s="48">
        <f>IF(M125="I",IF(OR(G125="",D125=""),"",ROUND(D125*G125,0)),IF(M125="S",SUMIFS(I$24:I124,N$24:N124,N125,M$24:M124,"I"),""))</f>
        <v/>
      </c>
      <c r="K125" s="29" t="n"/>
      <c r="L125">
        <f>IFERROR(MATCH(102,'マスタ'!$N$2:$N$246,0),"")</f>
        <v/>
      </c>
      <c r="M125">
        <f>IF(L125="","",INDEX('マスタ'!$A$2:$A$246,L125))</f>
        <v/>
      </c>
      <c r="N125">
        <f>IF(L125="","",INDEX('マスタ'!$B$2:$B$246,L125))</f>
        <v/>
      </c>
    </row>
    <row r="126">
      <c r="A126" s="29">
        <f>IF(M126="T",INDEX('設定'!$H$23:$H$34,N126),"")</f>
        <v/>
      </c>
      <c r="B126" s="29">
        <f>IF(OR(L126="",M126="B"),"",INDEX('マスタ'!$C$2:$C$246,L126))</f>
        <v/>
      </c>
      <c r="C126" s="29">
        <f>IF(M126="I",INDEX('マスタ'!$D$2:$D$246,L126)&amp;"","")</f>
        <v/>
      </c>
      <c r="D126" s="30">
        <f>IF(M126="I",INDEX('マスタ'!$M$2:$M$246,L126),"")</f>
        <v/>
      </c>
      <c r="F126" s="47">
        <f>IF(M126="I",INDEX('マスタ'!$F$2:$F$246,L126)&amp;"","")</f>
        <v/>
      </c>
      <c r="G126" s="48" t="n"/>
      <c r="I126" s="48">
        <f>IF(M126="I",IF(OR(G126="",D126=""),"",ROUND(D126*G126,0)),IF(M126="S",SUMIFS(I$24:I125,N$24:N125,N126,M$24:M125,"I"),""))</f>
        <v/>
      </c>
      <c r="K126" s="29" t="n"/>
      <c r="L126">
        <f>IFERROR(MATCH(103,'マスタ'!$N$2:$N$246,0),"")</f>
        <v/>
      </c>
      <c r="M126">
        <f>IF(L126="","",INDEX('マスタ'!$A$2:$A$246,L126))</f>
        <v/>
      </c>
      <c r="N126">
        <f>IF(L126="","",INDEX('マスタ'!$B$2:$B$246,L126))</f>
        <v/>
      </c>
    </row>
    <row r="127">
      <c r="A127" s="29">
        <f>IF(M127="T",INDEX('設定'!$H$23:$H$34,N127),"")</f>
        <v/>
      </c>
      <c r="B127" s="29">
        <f>IF(OR(L127="",M127="B"),"",INDEX('マスタ'!$C$2:$C$246,L127))</f>
        <v/>
      </c>
      <c r="C127" s="29">
        <f>IF(M127="I",INDEX('マスタ'!$D$2:$D$246,L127)&amp;"","")</f>
        <v/>
      </c>
      <c r="D127" s="30">
        <f>IF(M127="I",INDEX('マスタ'!$M$2:$M$246,L127),"")</f>
        <v/>
      </c>
      <c r="F127" s="47">
        <f>IF(M127="I",INDEX('マスタ'!$F$2:$F$246,L127)&amp;"","")</f>
        <v/>
      </c>
      <c r="G127" s="48" t="n"/>
      <c r="I127" s="48">
        <f>IF(M127="I",IF(OR(G127="",D127=""),"",ROUND(D127*G127,0)),IF(M127="S",SUMIFS(I$24:I126,N$24:N126,N127,M$24:M126,"I"),""))</f>
        <v/>
      </c>
      <c r="K127" s="29" t="n"/>
      <c r="L127">
        <f>IFERROR(MATCH(104,'マスタ'!$N$2:$N$246,0),"")</f>
        <v/>
      </c>
      <c r="M127">
        <f>IF(L127="","",INDEX('マスタ'!$A$2:$A$246,L127))</f>
        <v/>
      </c>
      <c r="N127">
        <f>IF(L127="","",INDEX('マスタ'!$B$2:$B$246,L127))</f>
        <v/>
      </c>
    </row>
    <row r="128">
      <c r="A128" s="29">
        <f>IF(M128="T",INDEX('設定'!$H$23:$H$34,N128),"")</f>
        <v/>
      </c>
      <c r="B128" s="29">
        <f>IF(OR(L128="",M128="B"),"",INDEX('マスタ'!$C$2:$C$246,L128))</f>
        <v/>
      </c>
      <c r="C128" s="29">
        <f>IF(M128="I",INDEX('マスタ'!$D$2:$D$246,L128)&amp;"","")</f>
        <v/>
      </c>
      <c r="D128" s="30">
        <f>IF(M128="I",INDEX('マスタ'!$M$2:$M$246,L128),"")</f>
        <v/>
      </c>
      <c r="F128" s="47">
        <f>IF(M128="I",INDEX('マスタ'!$F$2:$F$246,L128)&amp;"","")</f>
        <v/>
      </c>
      <c r="G128" s="48" t="n"/>
      <c r="I128" s="48">
        <f>IF(M128="I",IF(OR(G128="",D128=""),"",ROUND(D128*G128,0)),IF(M128="S",SUMIFS(I$24:I127,N$24:N127,N128,M$24:M127,"I"),""))</f>
        <v/>
      </c>
      <c r="K128" s="29" t="n"/>
      <c r="L128">
        <f>IFERROR(MATCH(105,'マスタ'!$N$2:$N$246,0),"")</f>
        <v/>
      </c>
      <c r="M128">
        <f>IF(L128="","",INDEX('マスタ'!$A$2:$A$246,L128))</f>
        <v/>
      </c>
      <c r="N128">
        <f>IF(L128="","",INDEX('マスタ'!$B$2:$B$246,L128))</f>
        <v/>
      </c>
    </row>
    <row r="129">
      <c r="A129" s="29">
        <f>IF(M129="T",INDEX('設定'!$H$23:$H$34,N129),"")</f>
        <v/>
      </c>
      <c r="B129" s="29">
        <f>IF(OR(L129="",M129="B"),"",INDEX('マスタ'!$C$2:$C$246,L129))</f>
        <v/>
      </c>
      <c r="C129" s="29">
        <f>IF(M129="I",INDEX('マスタ'!$D$2:$D$246,L129)&amp;"","")</f>
        <v/>
      </c>
      <c r="D129" s="30">
        <f>IF(M129="I",INDEX('マスタ'!$M$2:$M$246,L129),"")</f>
        <v/>
      </c>
      <c r="F129" s="47">
        <f>IF(M129="I",INDEX('マスタ'!$F$2:$F$246,L129)&amp;"","")</f>
        <v/>
      </c>
      <c r="G129" s="48" t="n"/>
      <c r="I129" s="48">
        <f>IF(M129="I",IF(OR(G129="",D129=""),"",ROUND(D129*G129,0)),IF(M129="S",SUMIFS(I$24:I128,N$24:N128,N129,M$24:M128,"I"),""))</f>
        <v/>
      </c>
      <c r="K129" s="29" t="n"/>
      <c r="L129">
        <f>IFERROR(MATCH(106,'マスタ'!$N$2:$N$246,0),"")</f>
        <v/>
      </c>
      <c r="M129">
        <f>IF(L129="","",INDEX('マスタ'!$A$2:$A$246,L129))</f>
        <v/>
      </c>
      <c r="N129">
        <f>IF(L129="","",INDEX('マスタ'!$B$2:$B$246,L129))</f>
        <v/>
      </c>
    </row>
    <row r="130">
      <c r="A130" s="29">
        <f>IF(M130="T",INDEX('設定'!$H$23:$H$34,N130),"")</f>
        <v/>
      </c>
      <c r="B130" s="29">
        <f>IF(OR(L130="",M130="B"),"",INDEX('マスタ'!$C$2:$C$246,L130))</f>
        <v/>
      </c>
      <c r="C130" s="29">
        <f>IF(M130="I",INDEX('マスタ'!$D$2:$D$246,L130)&amp;"","")</f>
        <v/>
      </c>
      <c r="D130" s="30">
        <f>IF(M130="I",INDEX('マスタ'!$M$2:$M$246,L130),"")</f>
        <v/>
      </c>
      <c r="F130" s="47">
        <f>IF(M130="I",INDEX('マスタ'!$F$2:$F$246,L130)&amp;"","")</f>
        <v/>
      </c>
      <c r="G130" s="48" t="n"/>
      <c r="I130" s="48">
        <f>IF(M130="I",IF(OR(G130="",D130=""),"",ROUND(D130*G130,0)),IF(M130="S",SUMIFS(I$24:I129,N$24:N129,N130,M$24:M129,"I"),""))</f>
        <v/>
      </c>
      <c r="K130" s="29" t="n"/>
      <c r="L130">
        <f>IFERROR(MATCH(107,'マスタ'!$N$2:$N$246,0),"")</f>
        <v/>
      </c>
      <c r="M130">
        <f>IF(L130="","",INDEX('マスタ'!$A$2:$A$246,L130))</f>
        <v/>
      </c>
      <c r="N130">
        <f>IF(L130="","",INDEX('マスタ'!$B$2:$B$246,L130))</f>
        <v/>
      </c>
    </row>
    <row r="131">
      <c r="A131" s="29">
        <f>IF(M131="T",INDEX('設定'!$H$23:$H$34,N131),"")</f>
        <v/>
      </c>
      <c r="B131" s="29">
        <f>IF(OR(L131="",M131="B"),"",INDEX('マスタ'!$C$2:$C$246,L131))</f>
        <v/>
      </c>
      <c r="C131" s="29">
        <f>IF(M131="I",INDEX('マスタ'!$D$2:$D$246,L131)&amp;"","")</f>
        <v/>
      </c>
      <c r="D131" s="30">
        <f>IF(M131="I",INDEX('マスタ'!$M$2:$M$246,L131),"")</f>
        <v/>
      </c>
      <c r="F131" s="47">
        <f>IF(M131="I",INDEX('マスタ'!$F$2:$F$246,L131)&amp;"","")</f>
        <v/>
      </c>
      <c r="G131" s="48" t="n"/>
      <c r="I131" s="48">
        <f>IF(M131="I",IF(OR(G131="",D131=""),"",ROUND(D131*G131,0)),IF(M131="S",SUMIFS(I$24:I130,N$24:N130,N131,M$24:M130,"I"),""))</f>
        <v/>
      </c>
      <c r="K131" s="29" t="n"/>
      <c r="L131">
        <f>IFERROR(MATCH(108,'マスタ'!$N$2:$N$246,0),"")</f>
        <v/>
      </c>
      <c r="M131">
        <f>IF(L131="","",INDEX('マスタ'!$A$2:$A$246,L131))</f>
        <v/>
      </c>
      <c r="N131">
        <f>IF(L131="","",INDEX('マスタ'!$B$2:$B$246,L131))</f>
        <v/>
      </c>
    </row>
    <row r="132">
      <c r="A132" s="29">
        <f>IF(M132="T",INDEX('設定'!$H$23:$H$34,N132),"")</f>
        <v/>
      </c>
      <c r="B132" s="29">
        <f>IF(OR(L132="",M132="B"),"",INDEX('マスタ'!$C$2:$C$246,L132))</f>
        <v/>
      </c>
      <c r="C132" s="29">
        <f>IF(M132="I",INDEX('マスタ'!$D$2:$D$246,L132)&amp;"","")</f>
        <v/>
      </c>
      <c r="D132" s="30">
        <f>IF(M132="I",INDEX('マスタ'!$M$2:$M$246,L132),"")</f>
        <v/>
      </c>
      <c r="F132" s="47">
        <f>IF(M132="I",INDEX('マスタ'!$F$2:$F$246,L132)&amp;"","")</f>
        <v/>
      </c>
      <c r="G132" s="48" t="n"/>
      <c r="I132" s="48">
        <f>IF(M132="I",IF(OR(G132="",D132=""),"",ROUND(D132*G132,0)),IF(M132="S",SUMIFS(I$24:I131,N$24:N131,N132,M$24:M131,"I"),""))</f>
        <v/>
      </c>
      <c r="K132" s="29" t="n"/>
      <c r="L132">
        <f>IFERROR(MATCH(109,'マスタ'!$N$2:$N$246,0),"")</f>
        <v/>
      </c>
      <c r="M132">
        <f>IF(L132="","",INDEX('マスタ'!$A$2:$A$246,L132))</f>
        <v/>
      </c>
      <c r="N132">
        <f>IF(L132="","",INDEX('マスタ'!$B$2:$B$246,L132))</f>
        <v/>
      </c>
    </row>
    <row r="133">
      <c r="A133" s="29">
        <f>IF(M133="T",INDEX('設定'!$H$23:$H$34,N133),"")</f>
        <v/>
      </c>
      <c r="B133" s="29">
        <f>IF(OR(L133="",M133="B"),"",INDEX('マスタ'!$C$2:$C$246,L133))</f>
        <v/>
      </c>
      <c r="C133" s="29">
        <f>IF(M133="I",INDEX('マスタ'!$D$2:$D$246,L133)&amp;"","")</f>
        <v/>
      </c>
      <c r="D133" s="30">
        <f>IF(M133="I",INDEX('マスタ'!$M$2:$M$246,L133),"")</f>
        <v/>
      </c>
      <c r="F133" s="47">
        <f>IF(M133="I",INDEX('マスタ'!$F$2:$F$246,L133)&amp;"","")</f>
        <v/>
      </c>
      <c r="G133" s="48" t="n"/>
      <c r="I133" s="48">
        <f>IF(M133="I",IF(OR(G133="",D133=""),"",ROUND(D133*G133,0)),IF(M133="S",SUMIFS(I$24:I132,N$24:N132,N133,M$24:M132,"I"),""))</f>
        <v/>
      </c>
      <c r="K133" s="29" t="n"/>
      <c r="L133">
        <f>IFERROR(MATCH(110,'マスタ'!$N$2:$N$246,0),"")</f>
        <v/>
      </c>
      <c r="M133">
        <f>IF(L133="","",INDEX('マスタ'!$A$2:$A$246,L133))</f>
        <v/>
      </c>
      <c r="N133">
        <f>IF(L133="","",INDEX('マスタ'!$B$2:$B$246,L133))</f>
        <v/>
      </c>
    </row>
    <row r="134">
      <c r="A134" s="29">
        <f>IF(M134="T",INDEX('設定'!$H$23:$H$34,N134),"")</f>
        <v/>
      </c>
      <c r="B134" s="29">
        <f>IF(OR(L134="",M134="B"),"",INDEX('マスタ'!$C$2:$C$246,L134))</f>
        <v/>
      </c>
      <c r="C134" s="29">
        <f>IF(M134="I",INDEX('マスタ'!$D$2:$D$246,L134)&amp;"","")</f>
        <v/>
      </c>
      <c r="D134" s="30">
        <f>IF(M134="I",INDEX('マスタ'!$M$2:$M$246,L134),"")</f>
        <v/>
      </c>
      <c r="F134" s="47">
        <f>IF(M134="I",INDEX('マスタ'!$F$2:$F$246,L134)&amp;"","")</f>
        <v/>
      </c>
      <c r="G134" s="48" t="n"/>
      <c r="I134" s="48">
        <f>IF(M134="I",IF(OR(G134="",D134=""),"",ROUND(D134*G134,0)),IF(M134="S",SUMIFS(I$24:I133,N$24:N133,N134,M$24:M133,"I"),""))</f>
        <v/>
      </c>
      <c r="K134" s="29" t="n"/>
      <c r="L134">
        <f>IFERROR(MATCH(111,'マスタ'!$N$2:$N$246,0),"")</f>
        <v/>
      </c>
      <c r="M134">
        <f>IF(L134="","",INDEX('マスタ'!$A$2:$A$246,L134))</f>
        <v/>
      </c>
      <c r="N134">
        <f>IF(L134="","",INDEX('マスタ'!$B$2:$B$246,L134))</f>
        <v/>
      </c>
    </row>
    <row r="135">
      <c r="A135" s="29">
        <f>IF(M135="T",INDEX('設定'!$H$23:$H$34,N135),"")</f>
        <v/>
      </c>
      <c r="B135" s="29">
        <f>IF(OR(L135="",M135="B"),"",INDEX('マスタ'!$C$2:$C$246,L135))</f>
        <v/>
      </c>
      <c r="C135" s="29">
        <f>IF(M135="I",INDEX('マスタ'!$D$2:$D$246,L135)&amp;"","")</f>
        <v/>
      </c>
      <c r="D135" s="30">
        <f>IF(M135="I",INDEX('マスタ'!$M$2:$M$246,L135),"")</f>
        <v/>
      </c>
      <c r="F135" s="47">
        <f>IF(M135="I",INDEX('マスタ'!$F$2:$F$246,L135)&amp;"","")</f>
        <v/>
      </c>
      <c r="G135" s="48" t="n"/>
      <c r="I135" s="48">
        <f>IF(M135="I",IF(OR(G135="",D135=""),"",ROUND(D135*G135,0)),IF(M135="S",SUMIFS(I$24:I134,N$24:N134,N135,M$24:M134,"I"),""))</f>
        <v/>
      </c>
      <c r="K135" s="29" t="n"/>
      <c r="L135">
        <f>IFERROR(MATCH(112,'マスタ'!$N$2:$N$246,0),"")</f>
        <v/>
      </c>
      <c r="M135">
        <f>IF(L135="","",INDEX('マスタ'!$A$2:$A$246,L135))</f>
        <v/>
      </c>
      <c r="N135">
        <f>IF(L135="","",INDEX('マスタ'!$B$2:$B$246,L135))</f>
        <v/>
      </c>
    </row>
    <row r="136">
      <c r="A136" s="29">
        <f>IF(M136="T",INDEX('設定'!$H$23:$H$34,N136),"")</f>
        <v/>
      </c>
      <c r="B136" s="29">
        <f>IF(OR(L136="",M136="B"),"",INDEX('マスタ'!$C$2:$C$246,L136))</f>
        <v/>
      </c>
      <c r="C136" s="29">
        <f>IF(M136="I",INDEX('マスタ'!$D$2:$D$246,L136)&amp;"","")</f>
        <v/>
      </c>
      <c r="D136" s="30">
        <f>IF(M136="I",INDEX('マスタ'!$M$2:$M$246,L136),"")</f>
        <v/>
      </c>
      <c r="F136" s="47">
        <f>IF(M136="I",INDEX('マスタ'!$F$2:$F$246,L136)&amp;"","")</f>
        <v/>
      </c>
      <c r="G136" s="48" t="n"/>
      <c r="I136" s="48">
        <f>IF(M136="I",IF(OR(G136="",D136=""),"",ROUND(D136*G136,0)),IF(M136="S",SUMIFS(I$24:I135,N$24:N135,N136,M$24:M135,"I"),""))</f>
        <v/>
      </c>
      <c r="K136" s="29" t="n"/>
      <c r="L136">
        <f>IFERROR(MATCH(113,'マスタ'!$N$2:$N$246,0),"")</f>
        <v/>
      </c>
      <c r="M136">
        <f>IF(L136="","",INDEX('マスタ'!$A$2:$A$246,L136))</f>
        <v/>
      </c>
      <c r="N136">
        <f>IF(L136="","",INDEX('マスタ'!$B$2:$B$246,L136))</f>
        <v/>
      </c>
    </row>
    <row r="137">
      <c r="A137" s="29">
        <f>IF(M137="T",INDEX('設定'!$H$23:$H$34,N137),"")</f>
        <v/>
      </c>
      <c r="B137" s="29">
        <f>IF(OR(L137="",M137="B"),"",INDEX('マスタ'!$C$2:$C$246,L137))</f>
        <v/>
      </c>
      <c r="C137" s="29">
        <f>IF(M137="I",INDEX('マスタ'!$D$2:$D$246,L137)&amp;"","")</f>
        <v/>
      </c>
      <c r="D137" s="30">
        <f>IF(M137="I",INDEX('マスタ'!$M$2:$M$246,L137),"")</f>
        <v/>
      </c>
      <c r="F137" s="47">
        <f>IF(M137="I",INDEX('マスタ'!$F$2:$F$246,L137)&amp;"","")</f>
        <v/>
      </c>
      <c r="G137" s="48" t="n"/>
      <c r="I137" s="48">
        <f>IF(M137="I",IF(OR(G137="",D137=""),"",ROUND(D137*G137,0)),IF(M137="S",SUMIFS(I$24:I136,N$24:N136,N137,M$24:M136,"I"),""))</f>
        <v/>
      </c>
      <c r="K137" s="29" t="n"/>
      <c r="L137">
        <f>IFERROR(MATCH(114,'マスタ'!$N$2:$N$246,0),"")</f>
        <v/>
      </c>
      <c r="M137">
        <f>IF(L137="","",INDEX('マスタ'!$A$2:$A$246,L137))</f>
        <v/>
      </c>
      <c r="N137">
        <f>IF(L137="","",INDEX('マスタ'!$B$2:$B$246,L137))</f>
        <v/>
      </c>
    </row>
    <row r="138">
      <c r="A138" s="29">
        <f>IF(M138="T",INDEX('設定'!$H$23:$H$34,N138),"")</f>
        <v/>
      </c>
      <c r="B138" s="29">
        <f>IF(OR(L138="",M138="B"),"",INDEX('マスタ'!$C$2:$C$246,L138))</f>
        <v/>
      </c>
      <c r="C138" s="29">
        <f>IF(M138="I",INDEX('マスタ'!$D$2:$D$246,L138)&amp;"","")</f>
        <v/>
      </c>
      <c r="D138" s="30">
        <f>IF(M138="I",INDEX('マスタ'!$M$2:$M$246,L138),"")</f>
        <v/>
      </c>
      <c r="F138" s="47">
        <f>IF(M138="I",INDEX('マスタ'!$F$2:$F$246,L138)&amp;"","")</f>
        <v/>
      </c>
      <c r="G138" s="48" t="n"/>
      <c r="I138" s="48">
        <f>IF(M138="I",IF(OR(G138="",D138=""),"",ROUND(D138*G138,0)),IF(M138="S",SUMIFS(I$24:I137,N$24:N137,N138,M$24:M137,"I"),""))</f>
        <v/>
      </c>
      <c r="K138" s="29" t="n"/>
      <c r="L138">
        <f>IFERROR(MATCH(115,'マスタ'!$N$2:$N$246,0),"")</f>
        <v/>
      </c>
      <c r="M138">
        <f>IF(L138="","",INDEX('マスタ'!$A$2:$A$246,L138))</f>
        <v/>
      </c>
      <c r="N138">
        <f>IF(L138="","",INDEX('マスタ'!$B$2:$B$246,L138))</f>
        <v/>
      </c>
    </row>
    <row r="139">
      <c r="A139" s="29">
        <f>IF(M139="T",INDEX('設定'!$H$23:$H$34,N139),"")</f>
        <v/>
      </c>
      <c r="B139" s="29">
        <f>IF(OR(L139="",M139="B"),"",INDEX('マスタ'!$C$2:$C$246,L139))</f>
        <v/>
      </c>
      <c r="C139" s="29">
        <f>IF(M139="I",INDEX('マスタ'!$D$2:$D$246,L139)&amp;"","")</f>
        <v/>
      </c>
      <c r="D139" s="30">
        <f>IF(M139="I",INDEX('マスタ'!$M$2:$M$246,L139),"")</f>
        <v/>
      </c>
      <c r="F139" s="47">
        <f>IF(M139="I",INDEX('マスタ'!$F$2:$F$246,L139)&amp;"","")</f>
        <v/>
      </c>
      <c r="G139" s="48" t="n"/>
      <c r="I139" s="48">
        <f>IF(M139="I",IF(OR(G139="",D139=""),"",ROUND(D139*G139,0)),IF(M139="S",SUMIFS(I$24:I138,N$24:N138,N139,M$24:M138,"I"),""))</f>
        <v/>
      </c>
      <c r="K139" s="29" t="n"/>
      <c r="L139">
        <f>IFERROR(MATCH(116,'マスタ'!$N$2:$N$246,0),"")</f>
        <v/>
      </c>
      <c r="M139">
        <f>IF(L139="","",INDEX('マスタ'!$A$2:$A$246,L139))</f>
        <v/>
      </c>
      <c r="N139">
        <f>IF(L139="","",INDEX('マスタ'!$B$2:$B$246,L139))</f>
        <v/>
      </c>
    </row>
    <row r="140">
      <c r="A140" s="29">
        <f>IF(M140="T",INDEX('設定'!$H$23:$H$34,N140),"")</f>
        <v/>
      </c>
      <c r="B140" s="29">
        <f>IF(OR(L140="",M140="B"),"",INDEX('マスタ'!$C$2:$C$246,L140))</f>
        <v/>
      </c>
      <c r="C140" s="29">
        <f>IF(M140="I",INDEX('マスタ'!$D$2:$D$246,L140)&amp;"","")</f>
        <v/>
      </c>
      <c r="D140" s="30">
        <f>IF(M140="I",INDEX('マスタ'!$M$2:$M$246,L140),"")</f>
        <v/>
      </c>
      <c r="F140" s="47">
        <f>IF(M140="I",INDEX('マスタ'!$F$2:$F$246,L140)&amp;"","")</f>
        <v/>
      </c>
      <c r="G140" s="48" t="n"/>
      <c r="I140" s="48">
        <f>IF(M140="I",IF(OR(G140="",D140=""),"",ROUND(D140*G140,0)),IF(M140="S",SUMIFS(I$24:I139,N$24:N139,N140,M$24:M139,"I"),""))</f>
        <v/>
      </c>
      <c r="K140" s="29" t="n"/>
      <c r="L140">
        <f>IFERROR(MATCH(117,'マスタ'!$N$2:$N$246,0),"")</f>
        <v/>
      </c>
      <c r="M140">
        <f>IF(L140="","",INDEX('マスタ'!$A$2:$A$246,L140))</f>
        <v/>
      </c>
      <c r="N140">
        <f>IF(L140="","",INDEX('マスタ'!$B$2:$B$246,L140))</f>
        <v/>
      </c>
    </row>
    <row r="141">
      <c r="A141" s="29">
        <f>IF(M141="T",INDEX('設定'!$H$23:$H$34,N141),"")</f>
        <v/>
      </c>
      <c r="B141" s="29">
        <f>IF(OR(L141="",M141="B"),"",INDEX('マスタ'!$C$2:$C$246,L141))</f>
        <v/>
      </c>
      <c r="C141" s="29">
        <f>IF(M141="I",INDEX('マスタ'!$D$2:$D$246,L141)&amp;"","")</f>
        <v/>
      </c>
      <c r="D141" s="30">
        <f>IF(M141="I",INDEX('マスタ'!$M$2:$M$246,L141),"")</f>
        <v/>
      </c>
      <c r="F141" s="47">
        <f>IF(M141="I",INDEX('マスタ'!$F$2:$F$246,L141)&amp;"","")</f>
        <v/>
      </c>
      <c r="G141" s="48" t="n"/>
      <c r="I141" s="48">
        <f>IF(M141="I",IF(OR(G141="",D141=""),"",ROUND(D141*G141,0)),IF(M141="S",SUMIFS(I$24:I140,N$24:N140,N141,M$24:M140,"I"),""))</f>
        <v/>
      </c>
      <c r="K141" s="29" t="n"/>
      <c r="L141">
        <f>IFERROR(MATCH(118,'マスタ'!$N$2:$N$246,0),"")</f>
        <v/>
      </c>
      <c r="M141">
        <f>IF(L141="","",INDEX('マスタ'!$A$2:$A$246,L141))</f>
        <v/>
      </c>
      <c r="N141">
        <f>IF(L141="","",INDEX('マスタ'!$B$2:$B$246,L141))</f>
        <v/>
      </c>
    </row>
    <row r="142">
      <c r="A142" s="29">
        <f>IF(M142="T",INDEX('設定'!$H$23:$H$34,N142),"")</f>
        <v/>
      </c>
      <c r="B142" s="29">
        <f>IF(OR(L142="",M142="B"),"",INDEX('マスタ'!$C$2:$C$246,L142))</f>
        <v/>
      </c>
      <c r="C142" s="29">
        <f>IF(M142="I",INDEX('マスタ'!$D$2:$D$246,L142)&amp;"","")</f>
        <v/>
      </c>
      <c r="D142" s="30">
        <f>IF(M142="I",INDEX('マスタ'!$M$2:$M$246,L142),"")</f>
        <v/>
      </c>
      <c r="F142" s="47">
        <f>IF(M142="I",INDEX('マスタ'!$F$2:$F$246,L142)&amp;"","")</f>
        <v/>
      </c>
      <c r="G142" s="48" t="n"/>
      <c r="I142" s="48">
        <f>IF(M142="I",IF(OR(G142="",D142=""),"",ROUND(D142*G142,0)),IF(M142="S",SUMIFS(I$24:I141,N$24:N141,N142,M$24:M141,"I"),""))</f>
        <v/>
      </c>
      <c r="K142" s="29" t="n"/>
      <c r="L142">
        <f>IFERROR(MATCH(119,'マスタ'!$N$2:$N$246,0),"")</f>
        <v/>
      </c>
      <c r="M142">
        <f>IF(L142="","",INDEX('マスタ'!$A$2:$A$246,L142))</f>
        <v/>
      </c>
      <c r="N142">
        <f>IF(L142="","",INDEX('マスタ'!$B$2:$B$246,L142))</f>
        <v/>
      </c>
    </row>
    <row r="143">
      <c r="A143" s="29">
        <f>IF(M143="T",INDEX('設定'!$H$23:$H$34,N143),"")</f>
        <v/>
      </c>
      <c r="B143" s="29">
        <f>IF(OR(L143="",M143="B"),"",INDEX('マスタ'!$C$2:$C$246,L143))</f>
        <v/>
      </c>
      <c r="C143" s="29">
        <f>IF(M143="I",INDEX('マスタ'!$D$2:$D$246,L143)&amp;"","")</f>
        <v/>
      </c>
      <c r="D143" s="30">
        <f>IF(M143="I",INDEX('マスタ'!$M$2:$M$246,L143),"")</f>
        <v/>
      </c>
      <c r="F143" s="47">
        <f>IF(M143="I",INDEX('マスタ'!$F$2:$F$246,L143)&amp;"","")</f>
        <v/>
      </c>
      <c r="G143" s="48" t="n"/>
      <c r="I143" s="48">
        <f>IF(M143="I",IF(OR(G143="",D143=""),"",ROUND(D143*G143,0)),IF(M143="S",SUMIFS(I$24:I142,N$24:N142,N143,M$24:M142,"I"),""))</f>
        <v/>
      </c>
      <c r="K143" s="29" t="n"/>
      <c r="L143">
        <f>IFERROR(MATCH(120,'マスタ'!$N$2:$N$246,0),"")</f>
        <v/>
      </c>
      <c r="M143">
        <f>IF(L143="","",INDEX('マスタ'!$A$2:$A$246,L143))</f>
        <v/>
      </c>
      <c r="N143">
        <f>IF(L143="","",INDEX('マスタ'!$B$2:$B$246,L143))</f>
        <v/>
      </c>
    </row>
    <row r="144">
      <c r="A144" s="29">
        <f>IF(M144="T",INDEX('設定'!$H$23:$H$34,N144),"")</f>
        <v/>
      </c>
      <c r="B144" s="29">
        <f>IF(OR(L144="",M144="B"),"",INDEX('マスタ'!$C$2:$C$246,L144))</f>
        <v/>
      </c>
      <c r="C144" s="29">
        <f>IF(M144="I",INDEX('マスタ'!$D$2:$D$246,L144)&amp;"","")</f>
        <v/>
      </c>
      <c r="D144" s="30">
        <f>IF(M144="I",INDEX('マスタ'!$M$2:$M$246,L144),"")</f>
        <v/>
      </c>
      <c r="F144" s="47">
        <f>IF(M144="I",INDEX('マスタ'!$F$2:$F$246,L144)&amp;"","")</f>
        <v/>
      </c>
      <c r="G144" s="48" t="n"/>
      <c r="I144" s="48">
        <f>IF(M144="I",IF(OR(G144="",D144=""),"",ROUND(D144*G144,0)),IF(M144="S",SUMIFS(I$24:I143,N$24:N143,N144,M$24:M143,"I"),""))</f>
        <v/>
      </c>
      <c r="K144" s="29" t="n"/>
      <c r="L144">
        <f>IFERROR(MATCH(121,'マスタ'!$N$2:$N$246,0),"")</f>
        <v/>
      </c>
      <c r="M144">
        <f>IF(L144="","",INDEX('マスタ'!$A$2:$A$246,L144))</f>
        <v/>
      </c>
      <c r="N144">
        <f>IF(L144="","",INDEX('マスタ'!$B$2:$B$246,L144))</f>
        <v/>
      </c>
    </row>
    <row r="145">
      <c r="A145" s="29">
        <f>IF(M145="T",INDEX('設定'!$H$23:$H$34,N145),"")</f>
        <v/>
      </c>
      <c r="B145" s="29">
        <f>IF(OR(L145="",M145="B"),"",INDEX('マスタ'!$C$2:$C$246,L145))</f>
        <v/>
      </c>
      <c r="C145" s="29">
        <f>IF(M145="I",INDEX('マスタ'!$D$2:$D$246,L145)&amp;"","")</f>
        <v/>
      </c>
      <c r="D145" s="30">
        <f>IF(M145="I",INDEX('マスタ'!$M$2:$M$246,L145),"")</f>
        <v/>
      </c>
      <c r="F145" s="47">
        <f>IF(M145="I",INDEX('マスタ'!$F$2:$F$246,L145)&amp;"","")</f>
        <v/>
      </c>
      <c r="G145" s="48" t="n"/>
      <c r="I145" s="48">
        <f>IF(M145="I",IF(OR(G145="",D145=""),"",ROUND(D145*G145,0)),IF(M145="S",SUMIFS(I$24:I144,N$24:N144,N145,M$24:M144,"I"),""))</f>
        <v/>
      </c>
      <c r="K145" s="29" t="n"/>
      <c r="L145">
        <f>IFERROR(MATCH(122,'マスタ'!$N$2:$N$246,0),"")</f>
        <v/>
      </c>
      <c r="M145">
        <f>IF(L145="","",INDEX('マスタ'!$A$2:$A$246,L145))</f>
        <v/>
      </c>
      <c r="N145">
        <f>IF(L145="","",INDEX('マスタ'!$B$2:$B$246,L145))</f>
        <v/>
      </c>
    </row>
    <row r="146">
      <c r="A146" s="29">
        <f>IF(M146="T",INDEX('設定'!$H$23:$H$34,N146),"")</f>
        <v/>
      </c>
      <c r="B146" s="29">
        <f>IF(OR(L146="",M146="B"),"",INDEX('マスタ'!$C$2:$C$246,L146))</f>
        <v/>
      </c>
      <c r="C146" s="29">
        <f>IF(M146="I",INDEX('マスタ'!$D$2:$D$246,L146)&amp;"","")</f>
        <v/>
      </c>
      <c r="D146" s="30">
        <f>IF(M146="I",INDEX('マスタ'!$M$2:$M$246,L146),"")</f>
        <v/>
      </c>
      <c r="F146" s="47">
        <f>IF(M146="I",INDEX('マスタ'!$F$2:$F$246,L146)&amp;"","")</f>
        <v/>
      </c>
      <c r="G146" s="48" t="n"/>
      <c r="I146" s="48">
        <f>IF(M146="I",IF(OR(G146="",D146=""),"",ROUND(D146*G146,0)),IF(M146="S",SUMIFS(I$24:I145,N$24:N145,N146,M$24:M145,"I"),""))</f>
        <v/>
      </c>
      <c r="K146" s="29" t="n"/>
      <c r="L146">
        <f>IFERROR(MATCH(123,'マスタ'!$N$2:$N$246,0),"")</f>
        <v/>
      </c>
      <c r="M146">
        <f>IF(L146="","",INDEX('マスタ'!$A$2:$A$246,L146))</f>
        <v/>
      </c>
      <c r="N146">
        <f>IF(L146="","",INDEX('マスタ'!$B$2:$B$246,L146))</f>
        <v/>
      </c>
    </row>
    <row r="147">
      <c r="A147" s="29">
        <f>IF(M147="T",INDEX('設定'!$H$23:$H$34,N147),"")</f>
        <v/>
      </c>
      <c r="B147" s="29">
        <f>IF(OR(L147="",M147="B"),"",INDEX('マスタ'!$C$2:$C$246,L147))</f>
        <v/>
      </c>
      <c r="C147" s="29">
        <f>IF(M147="I",INDEX('マスタ'!$D$2:$D$246,L147)&amp;"","")</f>
        <v/>
      </c>
      <c r="D147" s="30">
        <f>IF(M147="I",INDEX('マスタ'!$M$2:$M$246,L147),"")</f>
        <v/>
      </c>
      <c r="F147" s="47">
        <f>IF(M147="I",INDEX('マスタ'!$F$2:$F$246,L147)&amp;"","")</f>
        <v/>
      </c>
      <c r="G147" s="48" t="n"/>
      <c r="I147" s="48">
        <f>IF(M147="I",IF(OR(G147="",D147=""),"",ROUND(D147*G147,0)),IF(M147="S",SUMIFS(I$24:I146,N$24:N146,N147,M$24:M146,"I"),""))</f>
        <v/>
      </c>
      <c r="K147" s="29" t="n"/>
      <c r="L147">
        <f>IFERROR(MATCH(124,'マスタ'!$N$2:$N$246,0),"")</f>
        <v/>
      </c>
      <c r="M147">
        <f>IF(L147="","",INDEX('マスタ'!$A$2:$A$246,L147))</f>
        <v/>
      </c>
      <c r="N147">
        <f>IF(L147="","",INDEX('マスタ'!$B$2:$B$246,L147))</f>
        <v/>
      </c>
    </row>
    <row r="148">
      <c r="A148" s="29">
        <f>IF(M148="T",INDEX('設定'!$H$23:$H$34,N148),"")</f>
        <v/>
      </c>
      <c r="B148" s="29">
        <f>IF(OR(L148="",M148="B"),"",INDEX('マスタ'!$C$2:$C$246,L148))</f>
        <v/>
      </c>
      <c r="C148" s="29">
        <f>IF(M148="I",INDEX('マスタ'!$D$2:$D$246,L148)&amp;"","")</f>
        <v/>
      </c>
      <c r="D148" s="30">
        <f>IF(M148="I",INDEX('マスタ'!$M$2:$M$246,L148),"")</f>
        <v/>
      </c>
      <c r="F148" s="47">
        <f>IF(M148="I",INDEX('マスタ'!$F$2:$F$246,L148)&amp;"","")</f>
        <v/>
      </c>
      <c r="G148" s="48" t="n"/>
      <c r="I148" s="48">
        <f>IF(M148="I",IF(OR(G148="",D148=""),"",ROUND(D148*G148,0)),IF(M148="S",SUMIFS(I$24:I147,N$24:N147,N148,M$24:M147,"I"),""))</f>
        <v/>
      </c>
      <c r="K148" s="29" t="n"/>
      <c r="L148">
        <f>IFERROR(MATCH(125,'マスタ'!$N$2:$N$246,0),"")</f>
        <v/>
      </c>
      <c r="M148">
        <f>IF(L148="","",INDEX('マスタ'!$A$2:$A$246,L148))</f>
        <v/>
      </c>
      <c r="N148">
        <f>IF(L148="","",INDEX('マスタ'!$B$2:$B$246,L148))</f>
        <v/>
      </c>
    </row>
    <row r="149">
      <c r="A149" s="29">
        <f>IF(M149="T",INDEX('設定'!$H$23:$H$34,N149),"")</f>
        <v/>
      </c>
      <c r="B149" s="29">
        <f>IF(OR(L149="",M149="B"),"",INDEX('マスタ'!$C$2:$C$246,L149))</f>
        <v/>
      </c>
      <c r="C149" s="29">
        <f>IF(M149="I",INDEX('マスタ'!$D$2:$D$246,L149)&amp;"","")</f>
        <v/>
      </c>
      <c r="D149" s="30">
        <f>IF(M149="I",INDEX('マスタ'!$M$2:$M$246,L149),"")</f>
        <v/>
      </c>
      <c r="F149" s="47">
        <f>IF(M149="I",INDEX('マスタ'!$F$2:$F$246,L149)&amp;"","")</f>
        <v/>
      </c>
      <c r="G149" s="48" t="n"/>
      <c r="I149" s="48">
        <f>IF(M149="I",IF(OR(G149="",D149=""),"",ROUND(D149*G149,0)),IF(M149="S",SUMIFS(I$24:I148,N$24:N148,N149,M$24:M148,"I"),""))</f>
        <v/>
      </c>
      <c r="K149" s="29" t="n"/>
      <c r="L149">
        <f>IFERROR(MATCH(126,'マスタ'!$N$2:$N$246,0),"")</f>
        <v/>
      </c>
      <c r="M149">
        <f>IF(L149="","",INDEX('マスタ'!$A$2:$A$246,L149))</f>
        <v/>
      </c>
      <c r="N149">
        <f>IF(L149="","",INDEX('マスタ'!$B$2:$B$246,L149))</f>
        <v/>
      </c>
    </row>
    <row r="150">
      <c r="A150" s="29">
        <f>IF(M150="T",INDEX('設定'!$H$23:$H$34,N150),"")</f>
        <v/>
      </c>
      <c r="B150" s="29">
        <f>IF(OR(L150="",M150="B"),"",INDEX('マスタ'!$C$2:$C$246,L150))</f>
        <v/>
      </c>
      <c r="C150" s="29">
        <f>IF(M150="I",INDEX('マスタ'!$D$2:$D$246,L150)&amp;"","")</f>
        <v/>
      </c>
      <c r="D150" s="30">
        <f>IF(M150="I",INDEX('マスタ'!$M$2:$M$246,L150),"")</f>
        <v/>
      </c>
      <c r="F150" s="47">
        <f>IF(M150="I",INDEX('マスタ'!$F$2:$F$246,L150)&amp;"","")</f>
        <v/>
      </c>
      <c r="G150" s="48" t="n"/>
      <c r="I150" s="48">
        <f>IF(M150="I",IF(OR(G150="",D150=""),"",ROUND(D150*G150,0)),IF(M150="S",SUMIFS(I$24:I149,N$24:N149,N150,M$24:M149,"I"),""))</f>
        <v/>
      </c>
      <c r="K150" s="29" t="n"/>
      <c r="L150">
        <f>IFERROR(MATCH(127,'マスタ'!$N$2:$N$246,0),"")</f>
        <v/>
      </c>
      <c r="M150">
        <f>IF(L150="","",INDEX('マスタ'!$A$2:$A$246,L150))</f>
        <v/>
      </c>
      <c r="N150">
        <f>IF(L150="","",INDEX('マスタ'!$B$2:$B$246,L150))</f>
        <v/>
      </c>
    </row>
    <row r="151">
      <c r="A151" s="29">
        <f>IF(M151="T",INDEX('設定'!$H$23:$H$34,N151),"")</f>
        <v/>
      </c>
      <c r="B151" s="29">
        <f>IF(OR(L151="",M151="B"),"",INDEX('マスタ'!$C$2:$C$246,L151))</f>
        <v/>
      </c>
      <c r="C151" s="29">
        <f>IF(M151="I",INDEX('マスタ'!$D$2:$D$246,L151)&amp;"","")</f>
        <v/>
      </c>
      <c r="D151" s="30">
        <f>IF(M151="I",INDEX('マスタ'!$M$2:$M$246,L151),"")</f>
        <v/>
      </c>
      <c r="F151" s="47">
        <f>IF(M151="I",INDEX('マスタ'!$F$2:$F$246,L151)&amp;"","")</f>
        <v/>
      </c>
      <c r="G151" s="48" t="n"/>
      <c r="I151" s="48">
        <f>IF(M151="I",IF(OR(G151="",D151=""),"",ROUND(D151*G151,0)),IF(M151="S",SUMIFS(I$24:I150,N$24:N150,N151,M$24:M150,"I"),""))</f>
        <v/>
      </c>
      <c r="K151" s="29" t="n"/>
      <c r="L151">
        <f>IFERROR(MATCH(128,'マスタ'!$N$2:$N$246,0),"")</f>
        <v/>
      </c>
      <c r="M151">
        <f>IF(L151="","",INDEX('マスタ'!$A$2:$A$246,L151))</f>
        <v/>
      </c>
      <c r="N151">
        <f>IF(L151="","",INDEX('マスタ'!$B$2:$B$246,L151))</f>
        <v/>
      </c>
    </row>
    <row r="152">
      <c r="A152" s="29">
        <f>IF(M152="T",INDEX('設定'!$H$23:$H$34,N152),"")</f>
        <v/>
      </c>
      <c r="B152" s="29">
        <f>IF(OR(L152="",M152="B"),"",INDEX('マスタ'!$C$2:$C$246,L152))</f>
        <v/>
      </c>
      <c r="C152" s="29">
        <f>IF(M152="I",INDEX('マスタ'!$D$2:$D$246,L152)&amp;"","")</f>
        <v/>
      </c>
      <c r="D152" s="30">
        <f>IF(M152="I",INDEX('マスタ'!$M$2:$M$246,L152),"")</f>
        <v/>
      </c>
      <c r="F152" s="47">
        <f>IF(M152="I",INDEX('マスタ'!$F$2:$F$246,L152)&amp;"","")</f>
        <v/>
      </c>
      <c r="G152" s="48" t="n"/>
      <c r="I152" s="48">
        <f>IF(M152="I",IF(OR(G152="",D152=""),"",ROUND(D152*G152,0)),IF(M152="S",SUMIFS(I$24:I151,N$24:N151,N152,M$24:M151,"I"),""))</f>
        <v/>
      </c>
      <c r="K152" s="29" t="n"/>
      <c r="L152">
        <f>IFERROR(MATCH(129,'マスタ'!$N$2:$N$246,0),"")</f>
        <v/>
      </c>
      <c r="M152">
        <f>IF(L152="","",INDEX('マスタ'!$A$2:$A$246,L152))</f>
        <v/>
      </c>
      <c r="N152">
        <f>IF(L152="","",INDEX('マスタ'!$B$2:$B$246,L152))</f>
        <v/>
      </c>
    </row>
    <row r="153">
      <c r="A153" s="29">
        <f>IF(M153="T",INDEX('設定'!$H$23:$H$34,N153),"")</f>
        <v/>
      </c>
      <c r="B153" s="29">
        <f>IF(OR(L153="",M153="B"),"",INDEX('マスタ'!$C$2:$C$246,L153))</f>
        <v/>
      </c>
      <c r="C153" s="29">
        <f>IF(M153="I",INDEX('マスタ'!$D$2:$D$246,L153)&amp;"","")</f>
        <v/>
      </c>
      <c r="D153" s="30">
        <f>IF(M153="I",INDEX('マスタ'!$M$2:$M$246,L153),"")</f>
        <v/>
      </c>
      <c r="F153" s="47">
        <f>IF(M153="I",INDEX('マスタ'!$F$2:$F$246,L153)&amp;"","")</f>
        <v/>
      </c>
      <c r="G153" s="48" t="n"/>
      <c r="I153" s="48">
        <f>IF(M153="I",IF(OR(G153="",D153=""),"",ROUND(D153*G153,0)),IF(M153="S",SUMIFS(I$24:I152,N$24:N152,N153,M$24:M152,"I"),""))</f>
        <v/>
      </c>
      <c r="K153" s="29" t="n"/>
      <c r="L153">
        <f>IFERROR(MATCH(130,'マスタ'!$N$2:$N$246,0),"")</f>
        <v/>
      </c>
      <c r="M153">
        <f>IF(L153="","",INDEX('マスタ'!$A$2:$A$246,L153))</f>
        <v/>
      </c>
      <c r="N153">
        <f>IF(L153="","",INDEX('マスタ'!$B$2:$B$246,L153))</f>
        <v/>
      </c>
    </row>
    <row r="154">
      <c r="A154" s="29">
        <f>IF(M154="T",INDEX('設定'!$H$23:$H$34,N154),"")</f>
        <v/>
      </c>
      <c r="B154" s="29">
        <f>IF(OR(L154="",M154="B"),"",INDEX('マスタ'!$C$2:$C$246,L154))</f>
        <v/>
      </c>
      <c r="C154" s="29">
        <f>IF(M154="I",INDEX('マスタ'!$D$2:$D$246,L154)&amp;"","")</f>
        <v/>
      </c>
      <c r="D154" s="30">
        <f>IF(M154="I",INDEX('マスタ'!$M$2:$M$246,L154),"")</f>
        <v/>
      </c>
      <c r="F154" s="47">
        <f>IF(M154="I",INDEX('マスタ'!$F$2:$F$246,L154)&amp;"","")</f>
        <v/>
      </c>
      <c r="G154" s="48" t="n"/>
      <c r="I154" s="48">
        <f>IF(M154="I",IF(OR(G154="",D154=""),"",ROUND(D154*G154,0)),IF(M154="S",SUMIFS(I$24:I153,N$24:N153,N154,M$24:M153,"I"),""))</f>
        <v/>
      </c>
      <c r="K154" s="29" t="n"/>
      <c r="L154">
        <f>IFERROR(MATCH(131,'マスタ'!$N$2:$N$246,0),"")</f>
        <v/>
      </c>
      <c r="M154">
        <f>IF(L154="","",INDEX('マスタ'!$A$2:$A$246,L154))</f>
        <v/>
      </c>
      <c r="N154">
        <f>IF(L154="","",INDEX('マスタ'!$B$2:$B$246,L154))</f>
        <v/>
      </c>
    </row>
    <row r="155">
      <c r="A155" s="29">
        <f>IF(M155="T",INDEX('設定'!$H$23:$H$34,N155),"")</f>
        <v/>
      </c>
      <c r="B155" s="29">
        <f>IF(OR(L155="",M155="B"),"",INDEX('マスタ'!$C$2:$C$246,L155))</f>
        <v/>
      </c>
      <c r="C155" s="29">
        <f>IF(M155="I",INDEX('マスタ'!$D$2:$D$246,L155)&amp;"","")</f>
        <v/>
      </c>
      <c r="D155" s="30">
        <f>IF(M155="I",INDEX('マスタ'!$M$2:$M$246,L155),"")</f>
        <v/>
      </c>
      <c r="F155" s="47">
        <f>IF(M155="I",INDEX('マスタ'!$F$2:$F$246,L155)&amp;"","")</f>
        <v/>
      </c>
      <c r="G155" s="48" t="n"/>
      <c r="I155" s="48">
        <f>IF(M155="I",IF(OR(G155="",D155=""),"",ROUND(D155*G155,0)),IF(M155="S",SUMIFS(I$24:I154,N$24:N154,N155,M$24:M154,"I"),""))</f>
        <v/>
      </c>
      <c r="K155" s="29" t="n"/>
      <c r="L155">
        <f>IFERROR(MATCH(132,'マスタ'!$N$2:$N$246,0),"")</f>
        <v/>
      </c>
      <c r="M155">
        <f>IF(L155="","",INDEX('マスタ'!$A$2:$A$246,L155))</f>
        <v/>
      </c>
      <c r="N155">
        <f>IF(L155="","",INDEX('マスタ'!$B$2:$B$246,L155))</f>
        <v/>
      </c>
    </row>
    <row r="156">
      <c r="A156" s="29">
        <f>IF(M156="T",INDEX('設定'!$H$23:$H$34,N156),"")</f>
        <v/>
      </c>
      <c r="B156" s="29">
        <f>IF(OR(L156="",M156="B"),"",INDEX('マスタ'!$C$2:$C$246,L156))</f>
        <v/>
      </c>
      <c r="C156" s="29">
        <f>IF(M156="I",INDEX('マスタ'!$D$2:$D$246,L156)&amp;"","")</f>
        <v/>
      </c>
      <c r="D156" s="30">
        <f>IF(M156="I",INDEX('マスタ'!$M$2:$M$246,L156),"")</f>
        <v/>
      </c>
      <c r="F156" s="47">
        <f>IF(M156="I",INDEX('マスタ'!$F$2:$F$246,L156)&amp;"","")</f>
        <v/>
      </c>
      <c r="G156" s="48" t="n"/>
      <c r="I156" s="48">
        <f>IF(M156="I",IF(OR(G156="",D156=""),"",ROUND(D156*G156,0)),IF(M156="S",SUMIFS(I$24:I155,N$24:N155,N156,M$24:M155,"I"),""))</f>
        <v/>
      </c>
      <c r="K156" s="29" t="n"/>
      <c r="L156">
        <f>IFERROR(MATCH(133,'マスタ'!$N$2:$N$246,0),"")</f>
        <v/>
      </c>
      <c r="M156">
        <f>IF(L156="","",INDEX('マスタ'!$A$2:$A$246,L156))</f>
        <v/>
      </c>
      <c r="N156">
        <f>IF(L156="","",INDEX('マスタ'!$B$2:$B$246,L156))</f>
        <v/>
      </c>
    </row>
    <row r="157">
      <c r="A157" s="29">
        <f>IF(M157="T",INDEX('設定'!$H$23:$H$34,N157),"")</f>
        <v/>
      </c>
      <c r="B157" s="29">
        <f>IF(OR(L157="",M157="B"),"",INDEX('マスタ'!$C$2:$C$246,L157))</f>
        <v/>
      </c>
      <c r="C157" s="29">
        <f>IF(M157="I",INDEX('マスタ'!$D$2:$D$246,L157)&amp;"","")</f>
        <v/>
      </c>
      <c r="D157" s="30">
        <f>IF(M157="I",INDEX('マスタ'!$M$2:$M$246,L157),"")</f>
        <v/>
      </c>
      <c r="F157" s="47">
        <f>IF(M157="I",INDEX('マスタ'!$F$2:$F$246,L157)&amp;"","")</f>
        <v/>
      </c>
      <c r="G157" s="48" t="n"/>
      <c r="I157" s="48">
        <f>IF(M157="I",IF(OR(G157="",D157=""),"",ROUND(D157*G157,0)),IF(M157="S",SUMIFS(I$24:I156,N$24:N156,N157,M$24:M156,"I"),""))</f>
        <v/>
      </c>
      <c r="K157" s="29" t="n"/>
      <c r="L157">
        <f>IFERROR(MATCH(134,'マスタ'!$N$2:$N$246,0),"")</f>
        <v/>
      </c>
      <c r="M157">
        <f>IF(L157="","",INDEX('マスタ'!$A$2:$A$246,L157))</f>
        <v/>
      </c>
      <c r="N157">
        <f>IF(L157="","",INDEX('マスタ'!$B$2:$B$246,L157))</f>
        <v/>
      </c>
    </row>
    <row r="158">
      <c r="A158" s="29">
        <f>IF(M158="T",INDEX('設定'!$H$23:$H$34,N158),"")</f>
        <v/>
      </c>
      <c r="B158" s="29">
        <f>IF(OR(L158="",M158="B"),"",INDEX('マスタ'!$C$2:$C$246,L158))</f>
        <v/>
      </c>
      <c r="C158" s="29">
        <f>IF(M158="I",INDEX('マスタ'!$D$2:$D$246,L158)&amp;"","")</f>
        <v/>
      </c>
      <c r="D158" s="30">
        <f>IF(M158="I",INDEX('マスタ'!$M$2:$M$246,L158),"")</f>
        <v/>
      </c>
      <c r="F158" s="47">
        <f>IF(M158="I",INDEX('マスタ'!$F$2:$F$246,L158)&amp;"","")</f>
        <v/>
      </c>
      <c r="G158" s="48" t="n"/>
      <c r="I158" s="48">
        <f>IF(M158="I",IF(OR(G158="",D158=""),"",ROUND(D158*G158,0)),IF(M158="S",SUMIFS(I$24:I157,N$24:N157,N158,M$24:M157,"I"),""))</f>
        <v/>
      </c>
      <c r="K158" s="29" t="n"/>
      <c r="L158">
        <f>IFERROR(MATCH(135,'マスタ'!$N$2:$N$246,0),"")</f>
        <v/>
      </c>
      <c r="M158">
        <f>IF(L158="","",INDEX('マスタ'!$A$2:$A$246,L158))</f>
        <v/>
      </c>
      <c r="N158">
        <f>IF(L158="","",INDEX('マスタ'!$B$2:$B$246,L158))</f>
        <v/>
      </c>
    </row>
    <row r="159">
      <c r="A159" s="29">
        <f>IF(M159="T",INDEX('設定'!$H$23:$H$34,N159),"")</f>
        <v/>
      </c>
      <c r="B159" s="29">
        <f>IF(OR(L159="",M159="B"),"",INDEX('マスタ'!$C$2:$C$246,L159))</f>
        <v/>
      </c>
      <c r="C159" s="29">
        <f>IF(M159="I",INDEX('マスタ'!$D$2:$D$246,L159)&amp;"","")</f>
        <v/>
      </c>
      <c r="D159" s="30">
        <f>IF(M159="I",INDEX('マスタ'!$M$2:$M$246,L159),"")</f>
        <v/>
      </c>
      <c r="F159" s="47">
        <f>IF(M159="I",INDEX('マスタ'!$F$2:$F$246,L159)&amp;"","")</f>
        <v/>
      </c>
      <c r="G159" s="48" t="n"/>
      <c r="I159" s="48">
        <f>IF(M159="I",IF(OR(G159="",D159=""),"",ROUND(D159*G159,0)),IF(M159="S",SUMIFS(I$24:I158,N$24:N158,N159,M$24:M158,"I"),""))</f>
        <v/>
      </c>
      <c r="K159" s="29" t="n"/>
      <c r="L159">
        <f>IFERROR(MATCH(136,'マスタ'!$N$2:$N$246,0),"")</f>
        <v/>
      </c>
      <c r="M159">
        <f>IF(L159="","",INDEX('マスタ'!$A$2:$A$246,L159))</f>
        <v/>
      </c>
      <c r="N159">
        <f>IF(L159="","",INDEX('マスタ'!$B$2:$B$246,L159))</f>
        <v/>
      </c>
    </row>
    <row r="160">
      <c r="A160" s="29">
        <f>IF(M160="T",INDEX('設定'!$H$23:$H$34,N160),"")</f>
        <v/>
      </c>
      <c r="B160" s="29">
        <f>IF(OR(L160="",M160="B"),"",INDEX('マスタ'!$C$2:$C$246,L160))</f>
        <v/>
      </c>
      <c r="C160" s="29">
        <f>IF(M160="I",INDEX('マスタ'!$D$2:$D$246,L160)&amp;"","")</f>
        <v/>
      </c>
      <c r="D160" s="30">
        <f>IF(M160="I",INDEX('マスタ'!$M$2:$M$246,L160),"")</f>
        <v/>
      </c>
      <c r="F160" s="47">
        <f>IF(M160="I",INDEX('マスタ'!$F$2:$F$246,L160)&amp;"","")</f>
        <v/>
      </c>
      <c r="G160" s="48" t="n"/>
      <c r="I160" s="48">
        <f>IF(M160="I",IF(OR(G160="",D160=""),"",ROUND(D160*G160,0)),IF(M160="S",SUMIFS(I$24:I159,N$24:N159,N160,M$24:M159,"I"),""))</f>
        <v/>
      </c>
      <c r="K160" s="29" t="n"/>
      <c r="L160">
        <f>IFERROR(MATCH(137,'マスタ'!$N$2:$N$246,0),"")</f>
        <v/>
      </c>
      <c r="M160">
        <f>IF(L160="","",INDEX('マスタ'!$A$2:$A$246,L160))</f>
        <v/>
      </c>
      <c r="N160">
        <f>IF(L160="","",INDEX('マスタ'!$B$2:$B$246,L160))</f>
        <v/>
      </c>
    </row>
    <row r="161">
      <c r="A161" s="29">
        <f>IF(M161="T",INDEX('設定'!$H$23:$H$34,N161),"")</f>
        <v/>
      </c>
      <c r="B161" s="29">
        <f>IF(OR(L161="",M161="B"),"",INDEX('マスタ'!$C$2:$C$246,L161))</f>
        <v/>
      </c>
      <c r="C161" s="29">
        <f>IF(M161="I",INDEX('マスタ'!$D$2:$D$246,L161)&amp;"","")</f>
        <v/>
      </c>
      <c r="D161" s="30">
        <f>IF(M161="I",INDEX('マスタ'!$M$2:$M$246,L161),"")</f>
        <v/>
      </c>
      <c r="F161" s="47">
        <f>IF(M161="I",INDEX('マスタ'!$F$2:$F$246,L161)&amp;"","")</f>
        <v/>
      </c>
      <c r="G161" s="48" t="n"/>
      <c r="I161" s="48">
        <f>IF(M161="I",IF(OR(G161="",D161=""),"",ROUND(D161*G161,0)),IF(M161="S",SUMIFS(I$24:I160,N$24:N160,N161,M$24:M160,"I"),""))</f>
        <v/>
      </c>
      <c r="K161" s="29" t="n"/>
      <c r="L161">
        <f>IFERROR(MATCH(138,'マスタ'!$N$2:$N$246,0),"")</f>
        <v/>
      </c>
      <c r="M161">
        <f>IF(L161="","",INDEX('マスタ'!$A$2:$A$246,L161))</f>
        <v/>
      </c>
      <c r="N161">
        <f>IF(L161="","",INDEX('マスタ'!$B$2:$B$246,L161))</f>
        <v/>
      </c>
    </row>
    <row r="162">
      <c r="A162" s="29">
        <f>IF(M162="T",INDEX('設定'!$H$23:$H$34,N162),"")</f>
        <v/>
      </c>
      <c r="B162" s="29">
        <f>IF(OR(L162="",M162="B"),"",INDEX('マスタ'!$C$2:$C$246,L162))</f>
        <v/>
      </c>
      <c r="C162" s="29">
        <f>IF(M162="I",INDEX('マスタ'!$D$2:$D$246,L162)&amp;"","")</f>
        <v/>
      </c>
      <c r="D162" s="30">
        <f>IF(M162="I",INDEX('マスタ'!$M$2:$M$246,L162),"")</f>
        <v/>
      </c>
      <c r="F162" s="47">
        <f>IF(M162="I",INDEX('マスタ'!$F$2:$F$246,L162)&amp;"","")</f>
        <v/>
      </c>
      <c r="G162" s="48" t="n"/>
      <c r="I162" s="48">
        <f>IF(M162="I",IF(OR(G162="",D162=""),"",ROUND(D162*G162,0)),IF(M162="S",SUMIFS(I$24:I161,N$24:N161,N162,M$24:M161,"I"),""))</f>
        <v/>
      </c>
      <c r="K162" s="29" t="n"/>
      <c r="L162">
        <f>IFERROR(MATCH(139,'マスタ'!$N$2:$N$246,0),"")</f>
        <v/>
      </c>
      <c r="M162">
        <f>IF(L162="","",INDEX('マスタ'!$A$2:$A$246,L162))</f>
        <v/>
      </c>
      <c r="N162">
        <f>IF(L162="","",INDEX('マスタ'!$B$2:$B$246,L162))</f>
        <v/>
      </c>
    </row>
    <row r="163">
      <c r="A163" s="29">
        <f>IF(M163="T",INDEX('設定'!$H$23:$H$34,N163),"")</f>
        <v/>
      </c>
      <c r="B163" s="29">
        <f>IF(OR(L163="",M163="B"),"",INDEX('マスタ'!$C$2:$C$246,L163))</f>
        <v/>
      </c>
      <c r="C163" s="29">
        <f>IF(M163="I",INDEX('マスタ'!$D$2:$D$246,L163)&amp;"","")</f>
        <v/>
      </c>
      <c r="D163" s="30">
        <f>IF(M163="I",INDEX('マスタ'!$M$2:$M$246,L163),"")</f>
        <v/>
      </c>
      <c r="F163" s="47">
        <f>IF(M163="I",INDEX('マスタ'!$F$2:$F$246,L163)&amp;"","")</f>
        <v/>
      </c>
      <c r="G163" s="48" t="n"/>
      <c r="I163" s="48">
        <f>IF(M163="I",IF(OR(G163="",D163=""),"",ROUND(D163*G163,0)),IF(M163="S",SUMIFS(I$24:I162,N$24:N162,N163,M$24:M162,"I"),""))</f>
        <v/>
      </c>
      <c r="K163" s="29" t="n"/>
      <c r="L163">
        <f>IFERROR(MATCH(140,'マスタ'!$N$2:$N$246,0),"")</f>
        <v/>
      </c>
      <c r="M163">
        <f>IF(L163="","",INDEX('マスタ'!$A$2:$A$246,L163))</f>
        <v/>
      </c>
      <c r="N163">
        <f>IF(L163="","",INDEX('マスタ'!$B$2:$B$246,L163))</f>
        <v/>
      </c>
    </row>
    <row r="164">
      <c r="A164" s="29">
        <f>IF(M164="T",INDEX('設定'!$H$23:$H$34,N164),"")</f>
        <v/>
      </c>
      <c r="B164" s="29">
        <f>IF(OR(L164="",M164="B"),"",INDEX('マスタ'!$C$2:$C$246,L164))</f>
        <v/>
      </c>
      <c r="C164" s="29">
        <f>IF(M164="I",INDEX('マスタ'!$D$2:$D$246,L164)&amp;"","")</f>
        <v/>
      </c>
      <c r="D164" s="30">
        <f>IF(M164="I",INDEX('マスタ'!$M$2:$M$246,L164),"")</f>
        <v/>
      </c>
      <c r="F164" s="47">
        <f>IF(M164="I",INDEX('マスタ'!$F$2:$F$246,L164)&amp;"","")</f>
        <v/>
      </c>
      <c r="G164" s="48" t="n"/>
      <c r="I164" s="48">
        <f>IF(M164="I",IF(OR(G164="",D164=""),"",ROUND(D164*G164,0)),IF(M164="S",SUMIFS(I$24:I163,N$24:N163,N164,M$24:M163,"I"),""))</f>
        <v/>
      </c>
      <c r="K164" s="29" t="n"/>
      <c r="L164">
        <f>IFERROR(MATCH(141,'マスタ'!$N$2:$N$246,0),"")</f>
        <v/>
      </c>
      <c r="M164">
        <f>IF(L164="","",INDEX('マスタ'!$A$2:$A$246,L164))</f>
        <v/>
      </c>
      <c r="N164">
        <f>IF(L164="","",INDEX('マスタ'!$B$2:$B$246,L164))</f>
        <v/>
      </c>
    </row>
    <row r="165">
      <c r="A165" s="29">
        <f>IF(M165="T",INDEX('設定'!$H$23:$H$34,N165),"")</f>
        <v/>
      </c>
      <c r="B165" s="29">
        <f>IF(OR(L165="",M165="B"),"",INDEX('マスタ'!$C$2:$C$246,L165))</f>
        <v/>
      </c>
      <c r="C165" s="29">
        <f>IF(M165="I",INDEX('マスタ'!$D$2:$D$246,L165)&amp;"","")</f>
        <v/>
      </c>
      <c r="D165" s="30">
        <f>IF(M165="I",INDEX('マスタ'!$M$2:$M$246,L165),"")</f>
        <v/>
      </c>
      <c r="F165" s="47">
        <f>IF(M165="I",INDEX('マスタ'!$F$2:$F$246,L165)&amp;"","")</f>
        <v/>
      </c>
      <c r="G165" s="48" t="n"/>
      <c r="I165" s="48">
        <f>IF(M165="I",IF(OR(G165="",D165=""),"",ROUND(D165*G165,0)),IF(M165="S",SUMIFS(I$24:I164,N$24:N164,N165,M$24:M164,"I"),""))</f>
        <v/>
      </c>
      <c r="K165" s="29" t="n"/>
      <c r="L165">
        <f>IFERROR(MATCH(142,'マスタ'!$N$2:$N$246,0),"")</f>
        <v/>
      </c>
      <c r="M165">
        <f>IF(L165="","",INDEX('マスタ'!$A$2:$A$246,L165))</f>
        <v/>
      </c>
      <c r="N165">
        <f>IF(L165="","",INDEX('マスタ'!$B$2:$B$246,L165))</f>
        <v/>
      </c>
    </row>
    <row r="166">
      <c r="A166" s="29">
        <f>IF(M166="T",INDEX('設定'!$H$23:$H$34,N166),"")</f>
        <v/>
      </c>
      <c r="B166" s="29">
        <f>IF(OR(L166="",M166="B"),"",INDEX('マスタ'!$C$2:$C$246,L166))</f>
        <v/>
      </c>
      <c r="C166" s="29">
        <f>IF(M166="I",INDEX('マスタ'!$D$2:$D$246,L166)&amp;"","")</f>
        <v/>
      </c>
      <c r="D166" s="30">
        <f>IF(M166="I",INDEX('マスタ'!$M$2:$M$246,L166),"")</f>
        <v/>
      </c>
      <c r="F166" s="47">
        <f>IF(M166="I",INDEX('マスタ'!$F$2:$F$246,L166)&amp;"","")</f>
        <v/>
      </c>
      <c r="G166" s="48" t="n"/>
      <c r="I166" s="48">
        <f>IF(M166="I",IF(OR(G166="",D166=""),"",ROUND(D166*G166,0)),IF(M166="S",SUMIFS(I$24:I165,N$24:N165,N166,M$24:M165,"I"),""))</f>
        <v/>
      </c>
      <c r="K166" s="29" t="n"/>
      <c r="L166">
        <f>IFERROR(MATCH(143,'マスタ'!$N$2:$N$246,0),"")</f>
        <v/>
      </c>
      <c r="M166">
        <f>IF(L166="","",INDEX('マスタ'!$A$2:$A$246,L166))</f>
        <v/>
      </c>
      <c r="N166">
        <f>IF(L166="","",INDEX('マスタ'!$B$2:$B$246,L166))</f>
        <v/>
      </c>
    </row>
    <row r="167">
      <c r="A167" s="29">
        <f>IF(M167="T",INDEX('設定'!$H$23:$H$34,N167),"")</f>
        <v/>
      </c>
      <c r="B167" s="29">
        <f>IF(OR(L167="",M167="B"),"",INDEX('マスタ'!$C$2:$C$246,L167))</f>
        <v/>
      </c>
      <c r="C167" s="29">
        <f>IF(M167="I",INDEX('マスタ'!$D$2:$D$246,L167)&amp;"","")</f>
        <v/>
      </c>
      <c r="D167" s="30">
        <f>IF(M167="I",INDEX('マスタ'!$M$2:$M$246,L167),"")</f>
        <v/>
      </c>
      <c r="F167" s="47">
        <f>IF(M167="I",INDEX('マスタ'!$F$2:$F$246,L167)&amp;"","")</f>
        <v/>
      </c>
      <c r="G167" s="48" t="n"/>
      <c r="I167" s="48">
        <f>IF(M167="I",IF(OR(G167="",D167=""),"",ROUND(D167*G167,0)),IF(M167="S",SUMIFS(I$24:I166,N$24:N166,N167,M$24:M166,"I"),""))</f>
        <v/>
      </c>
      <c r="K167" s="29" t="n"/>
      <c r="L167">
        <f>IFERROR(MATCH(144,'マスタ'!$N$2:$N$246,0),"")</f>
        <v/>
      </c>
      <c r="M167">
        <f>IF(L167="","",INDEX('マスタ'!$A$2:$A$246,L167))</f>
        <v/>
      </c>
      <c r="N167">
        <f>IF(L167="","",INDEX('マスタ'!$B$2:$B$246,L167))</f>
        <v/>
      </c>
    </row>
    <row r="168">
      <c r="A168" s="29">
        <f>IF(M168="T",INDEX('設定'!$H$23:$H$34,N168),"")</f>
        <v/>
      </c>
      <c r="B168" s="29">
        <f>IF(OR(L168="",M168="B"),"",INDEX('マスタ'!$C$2:$C$246,L168))</f>
        <v/>
      </c>
      <c r="C168" s="29">
        <f>IF(M168="I",INDEX('マスタ'!$D$2:$D$246,L168)&amp;"","")</f>
        <v/>
      </c>
      <c r="D168" s="30">
        <f>IF(M168="I",INDEX('マスタ'!$M$2:$M$246,L168),"")</f>
        <v/>
      </c>
      <c r="F168" s="47">
        <f>IF(M168="I",INDEX('マスタ'!$F$2:$F$246,L168)&amp;"","")</f>
        <v/>
      </c>
      <c r="G168" s="48" t="n"/>
      <c r="I168" s="48">
        <f>IF(M168="I",IF(OR(G168="",D168=""),"",ROUND(D168*G168,0)),IF(M168="S",SUMIFS(I$24:I167,N$24:N167,N168,M$24:M167,"I"),""))</f>
        <v/>
      </c>
      <c r="K168" s="29" t="n"/>
      <c r="L168">
        <f>IFERROR(MATCH(145,'マスタ'!$N$2:$N$246,0),"")</f>
        <v/>
      </c>
      <c r="M168">
        <f>IF(L168="","",INDEX('マスタ'!$A$2:$A$246,L168))</f>
        <v/>
      </c>
      <c r="N168">
        <f>IF(L168="","",INDEX('マスタ'!$B$2:$B$246,L168))</f>
        <v/>
      </c>
    </row>
    <row r="169">
      <c r="A169" s="29">
        <f>IF(M169="T",INDEX('設定'!$H$23:$H$34,N169),"")</f>
        <v/>
      </c>
      <c r="B169" s="29">
        <f>IF(OR(L169="",M169="B"),"",INDEX('マスタ'!$C$2:$C$246,L169))</f>
        <v/>
      </c>
      <c r="C169" s="29">
        <f>IF(M169="I",INDEX('マスタ'!$D$2:$D$246,L169)&amp;"","")</f>
        <v/>
      </c>
      <c r="D169" s="30">
        <f>IF(M169="I",INDEX('マスタ'!$M$2:$M$246,L169),"")</f>
        <v/>
      </c>
      <c r="F169" s="47">
        <f>IF(M169="I",INDEX('マスタ'!$F$2:$F$246,L169)&amp;"","")</f>
        <v/>
      </c>
      <c r="G169" s="48" t="n"/>
      <c r="I169" s="48">
        <f>IF(M169="I",IF(OR(G169="",D169=""),"",ROUND(D169*G169,0)),IF(M169="S",SUMIFS(I$24:I168,N$24:N168,N169,M$24:M168,"I"),""))</f>
        <v/>
      </c>
      <c r="K169" s="29" t="n"/>
      <c r="L169">
        <f>IFERROR(MATCH(146,'マスタ'!$N$2:$N$246,0),"")</f>
        <v/>
      </c>
      <c r="M169">
        <f>IF(L169="","",INDEX('マスタ'!$A$2:$A$246,L169))</f>
        <v/>
      </c>
      <c r="N169">
        <f>IF(L169="","",INDEX('マスタ'!$B$2:$B$246,L169))</f>
        <v/>
      </c>
    </row>
    <row r="170">
      <c r="A170" s="29">
        <f>IF(M170="T",INDEX('設定'!$H$23:$H$34,N170),"")</f>
        <v/>
      </c>
      <c r="B170" s="29">
        <f>IF(OR(L170="",M170="B"),"",INDEX('マスタ'!$C$2:$C$246,L170))</f>
        <v/>
      </c>
      <c r="C170" s="29">
        <f>IF(M170="I",INDEX('マスタ'!$D$2:$D$246,L170)&amp;"","")</f>
        <v/>
      </c>
      <c r="D170" s="30">
        <f>IF(M170="I",INDEX('マスタ'!$M$2:$M$246,L170),"")</f>
        <v/>
      </c>
      <c r="F170" s="47">
        <f>IF(M170="I",INDEX('マスタ'!$F$2:$F$246,L170)&amp;"","")</f>
        <v/>
      </c>
      <c r="G170" s="48" t="n"/>
      <c r="I170" s="48">
        <f>IF(M170="I",IF(OR(G170="",D170=""),"",ROUND(D170*G170,0)),IF(M170="S",SUMIFS(I$24:I169,N$24:N169,N170,M$24:M169,"I"),""))</f>
        <v/>
      </c>
      <c r="K170" s="29" t="n"/>
      <c r="L170">
        <f>IFERROR(MATCH(147,'マスタ'!$N$2:$N$246,0),"")</f>
        <v/>
      </c>
      <c r="M170">
        <f>IF(L170="","",INDEX('マスタ'!$A$2:$A$246,L170))</f>
        <v/>
      </c>
      <c r="N170">
        <f>IF(L170="","",INDEX('マスタ'!$B$2:$B$246,L170))</f>
        <v/>
      </c>
    </row>
    <row r="171">
      <c r="A171" s="29">
        <f>IF(M171="T",INDEX('設定'!$H$23:$H$34,N171),"")</f>
        <v/>
      </c>
      <c r="B171" s="29">
        <f>IF(OR(L171="",M171="B"),"",INDEX('マスタ'!$C$2:$C$246,L171))</f>
        <v/>
      </c>
      <c r="C171" s="29">
        <f>IF(M171="I",INDEX('マスタ'!$D$2:$D$246,L171)&amp;"","")</f>
        <v/>
      </c>
      <c r="D171" s="30">
        <f>IF(M171="I",INDEX('マスタ'!$M$2:$M$246,L171),"")</f>
        <v/>
      </c>
      <c r="F171" s="47">
        <f>IF(M171="I",INDEX('マスタ'!$F$2:$F$246,L171)&amp;"","")</f>
        <v/>
      </c>
      <c r="G171" s="48" t="n"/>
      <c r="I171" s="48">
        <f>IF(M171="I",IF(OR(G171="",D171=""),"",ROUND(D171*G171,0)),IF(M171="S",SUMIFS(I$24:I170,N$24:N170,N171,M$24:M170,"I"),""))</f>
        <v/>
      </c>
      <c r="K171" s="29" t="n"/>
      <c r="L171">
        <f>IFERROR(MATCH(148,'マスタ'!$N$2:$N$246,0),"")</f>
        <v/>
      </c>
      <c r="M171">
        <f>IF(L171="","",INDEX('マスタ'!$A$2:$A$246,L171))</f>
        <v/>
      </c>
      <c r="N171">
        <f>IF(L171="","",INDEX('マスタ'!$B$2:$B$246,L171))</f>
        <v/>
      </c>
    </row>
    <row r="172">
      <c r="A172" s="29">
        <f>IF(M172="T",INDEX('設定'!$H$23:$H$34,N172),"")</f>
        <v/>
      </c>
      <c r="B172" s="29">
        <f>IF(OR(L172="",M172="B"),"",INDEX('マスタ'!$C$2:$C$246,L172))</f>
        <v/>
      </c>
      <c r="C172" s="29">
        <f>IF(M172="I",INDEX('マスタ'!$D$2:$D$246,L172)&amp;"","")</f>
        <v/>
      </c>
      <c r="D172" s="30">
        <f>IF(M172="I",INDEX('マスタ'!$M$2:$M$246,L172),"")</f>
        <v/>
      </c>
      <c r="F172" s="47">
        <f>IF(M172="I",INDEX('マスタ'!$F$2:$F$246,L172)&amp;"","")</f>
        <v/>
      </c>
      <c r="G172" s="48" t="n"/>
      <c r="I172" s="48">
        <f>IF(M172="I",IF(OR(G172="",D172=""),"",ROUND(D172*G172,0)),IF(M172="S",SUMIFS(I$24:I171,N$24:N171,N172,M$24:M171,"I"),""))</f>
        <v/>
      </c>
      <c r="K172" s="29" t="n"/>
      <c r="L172">
        <f>IFERROR(MATCH(149,'マスタ'!$N$2:$N$246,0),"")</f>
        <v/>
      </c>
      <c r="M172">
        <f>IF(L172="","",INDEX('マスタ'!$A$2:$A$246,L172))</f>
        <v/>
      </c>
      <c r="N172">
        <f>IF(L172="","",INDEX('マスタ'!$B$2:$B$246,L172))</f>
        <v/>
      </c>
    </row>
    <row r="173">
      <c r="A173" s="29">
        <f>IF(M173="T",INDEX('設定'!$H$23:$H$34,N173),"")</f>
        <v/>
      </c>
      <c r="B173" s="29">
        <f>IF(OR(L173="",M173="B"),"",INDEX('マスタ'!$C$2:$C$246,L173))</f>
        <v/>
      </c>
      <c r="C173" s="29">
        <f>IF(M173="I",INDEX('マスタ'!$D$2:$D$246,L173)&amp;"","")</f>
        <v/>
      </c>
      <c r="D173" s="30">
        <f>IF(M173="I",INDEX('マスタ'!$M$2:$M$246,L173),"")</f>
        <v/>
      </c>
      <c r="F173" s="47">
        <f>IF(M173="I",INDEX('マスタ'!$F$2:$F$246,L173)&amp;"","")</f>
        <v/>
      </c>
      <c r="G173" s="48" t="n"/>
      <c r="I173" s="48">
        <f>IF(M173="I",IF(OR(G173="",D173=""),"",ROUND(D173*G173,0)),IF(M173="S",SUMIFS(I$24:I172,N$24:N172,N173,M$24:M172,"I"),""))</f>
        <v/>
      </c>
      <c r="K173" s="29" t="n"/>
      <c r="L173">
        <f>IFERROR(MATCH(150,'マスタ'!$N$2:$N$246,0),"")</f>
        <v/>
      </c>
      <c r="M173">
        <f>IF(L173="","",INDEX('マスタ'!$A$2:$A$246,L173))</f>
        <v/>
      </c>
      <c r="N173">
        <f>IF(L173="","",INDEX('マスタ'!$B$2:$B$246,L173))</f>
        <v/>
      </c>
    </row>
    <row r="174">
      <c r="A174" s="29">
        <f>IF(M174="T",INDEX('設定'!$H$23:$H$34,N174),"")</f>
        <v/>
      </c>
      <c r="B174" s="29">
        <f>IF(OR(L174="",M174="B"),"",INDEX('マスタ'!$C$2:$C$246,L174))</f>
        <v/>
      </c>
      <c r="C174" s="29">
        <f>IF(M174="I",INDEX('マスタ'!$D$2:$D$246,L174)&amp;"","")</f>
        <v/>
      </c>
      <c r="D174" s="30">
        <f>IF(M174="I",INDEX('マスタ'!$M$2:$M$246,L174),"")</f>
        <v/>
      </c>
      <c r="F174" s="47">
        <f>IF(M174="I",INDEX('マスタ'!$F$2:$F$246,L174)&amp;"","")</f>
        <v/>
      </c>
      <c r="G174" s="48" t="n"/>
      <c r="I174" s="48">
        <f>IF(M174="I",IF(OR(G174="",D174=""),"",ROUND(D174*G174,0)),IF(M174="S",SUMIFS(I$24:I173,N$24:N173,N174,M$24:M173,"I"),""))</f>
        <v/>
      </c>
      <c r="K174" s="29" t="n"/>
      <c r="L174">
        <f>IFERROR(MATCH(151,'マスタ'!$N$2:$N$246,0),"")</f>
        <v/>
      </c>
      <c r="M174">
        <f>IF(L174="","",INDEX('マスタ'!$A$2:$A$246,L174))</f>
        <v/>
      </c>
      <c r="N174">
        <f>IF(L174="","",INDEX('マスタ'!$B$2:$B$246,L174))</f>
        <v/>
      </c>
    </row>
    <row r="175">
      <c r="A175" s="29">
        <f>IF(M175="T",INDEX('設定'!$H$23:$H$34,N175),"")</f>
        <v/>
      </c>
      <c r="B175" s="29">
        <f>IF(OR(L175="",M175="B"),"",INDEX('マスタ'!$C$2:$C$246,L175))</f>
        <v/>
      </c>
      <c r="C175" s="29">
        <f>IF(M175="I",INDEX('マスタ'!$D$2:$D$246,L175)&amp;"","")</f>
        <v/>
      </c>
      <c r="D175" s="30">
        <f>IF(M175="I",INDEX('マスタ'!$M$2:$M$246,L175),"")</f>
        <v/>
      </c>
      <c r="F175" s="47">
        <f>IF(M175="I",INDEX('マスタ'!$F$2:$F$246,L175)&amp;"","")</f>
        <v/>
      </c>
      <c r="G175" s="48" t="n"/>
      <c r="I175" s="48">
        <f>IF(M175="I",IF(OR(G175="",D175=""),"",ROUND(D175*G175,0)),IF(M175="S",SUMIFS(I$24:I174,N$24:N174,N175,M$24:M174,"I"),""))</f>
        <v/>
      </c>
      <c r="K175" s="29" t="n"/>
      <c r="L175">
        <f>IFERROR(MATCH(152,'マスタ'!$N$2:$N$246,0),"")</f>
        <v/>
      </c>
      <c r="M175">
        <f>IF(L175="","",INDEX('マスタ'!$A$2:$A$246,L175))</f>
        <v/>
      </c>
      <c r="N175">
        <f>IF(L175="","",INDEX('マスタ'!$B$2:$B$246,L175))</f>
        <v/>
      </c>
    </row>
    <row r="176">
      <c r="A176" s="29">
        <f>IF(M176="T",INDEX('設定'!$H$23:$H$34,N176),"")</f>
        <v/>
      </c>
      <c r="B176" s="29">
        <f>IF(OR(L176="",M176="B"),"",INDEX('マスタ'!$C$2:$C$246,L176))</f>
        <v/>
      </c>
      <c r="C176" s="29">
        <f>IF(M176="I",INDEX('マスタ'!$D$2:$D$246,L176)&amp;"","")</f>
        <v/>
      </c>
      <c r="D176" s="30">
        <f>IF(M176="I",INDEX('マスタ'!$M$2:$M$246,L176),"")</f>
        <v/>
      </c>
      <c r="F176" s="47">
        <f>IF(M176="I",INDEX('マスタ'!$F$2:$F$246,L176)&amp;"","")</f>
        <v/>
      </c>
      <c r="G176" s="48" t="n"/>
      <c r="I176" s="48">
        <f>IF(M176="I",IF(OR(G176="",D176=""),"",ROUND(D176*G176,0)),IF(M176="S",SUMIFS(I$24:I175,N$24:N175,N176,M$24:M175,"I"),""))</f>
        <v/>
      </c>
      <c r="K176" s="29" t="n"/>
      <c r="L176">
        <f>IFERROR(MATCH(153,'マスタ'!$N$2:$N$246,0),"")</f>
        <v/>
      </c>
      <c r="M176">
        <f>IF(L176="","",INDEX('マスタ'!$A$2:$A$246,L176))</f>
        <v/>
      </c>
      <c r="N176">
        <f>IF(L176="","",INDEX('マスタ'!$B$2:$B$246,L176))</f>
        <v/>
      </c>
    </row>
    <row r="177">
      <c r="A177" s="29">
        <f>IF(M177="T",INDEX('設定'!$H$23:$H$34,N177),"")</f>
        <v/>
      </c>
      <c r="B177" s="29">
        <f>IF(OR(L177="",M177="B"),"",INDEX('マスタ'!$C$2:$C$246,L177))</f>
        <v/>
      </c>
      <c r="C177" s="29">
        <f>IF(M177="I",INDEX('マスタ'!$D$2:$D$246,L177)&amp;"","")</f>
        <v/>
      </c>
      <c r="D177" s="30">
        <f>IF(M177="I",INDEX('マスタ'!$M$2:$M$246,L177),"")</f>
        <v/>
      </c>
      <c r="F177" s="47">
        <f>IF(M177="I",INDEX('マスタ'!$F$2:$F$246,L177)&amp;"","")</f>
        <v/>
      </c>
      <c r="G177" s="48" t="n"/>
      <c r="I177" s="48">
        <f>IF(M177="I",IF(OR(G177="",D177=""),"",ROUND(D177*G177,0)),IF(M177="S",SUMIFS(I$24:I176,N$24:N176,N177,M$24:M176,"I"),""))</f>
        <v/>
      </c>
      <c r="K177" s="29" t="n"/>
      <c r="L177">
        <f>IFERROR(MATCH(154,'マスタ'!$N$2:$N$246,0),"")</f>
        <v/>
      </c>
      <c r="M177">
        <f>IF(L177="","",INDEX('マスタ'!$A$2:$A$246,L177))</f>
        <v/>
      </c>
      <c r="N177">
        <f>IF(L177="","",INDEX('マスタ'!$B$2:$B$246,L177))</f>
        <v/>
      </c>
    </row>
    <row r="178">
      <c r="A178" s="29">
        <f>IF(M178="T",INDEX('設定'!$H$23:$H$34,N178),"")</f>
        <v/>
      </c>
      <c r="B178" s="29">
        <f>IF(OR(L178="",M178="B"),"",INDEX('マスタ'!$C$2:$C$246,L178))</f>
        <v/>
      </c>
      <c r="C178" s="29">
        <f>IF(M178="I",INDEX('マスタ'!$D$2:$D$246,L178)&amp;"","")</f>
        <v/>
      </c>
      <c r="D178" s="30">
        <f>IF(M178="I",INDEX('マスタ'!$M$2:$M$246,L178),"")</f>
        <v/>
      </c>
      <c r="F178" s="47">
        <f>IF(M178="I",INDEX('マスタ'!$F$2:$F$246,L178)&amp;"","")</f>
        <v/>
      </c>
      <c r="G178" s="48" t="n"/>
      <c r="I178" s="48">
        <f>IF(M178="I",IF(OR(G178="",D178=""),"",ROUND(D178*G178,0)),IF(M178="S",SUMIFS(I$24:I177,N$24:N177,N178,M$24:M177,"I"),""))</f>
        <v/>
      </c>
      <c r="K178" s="29" t="n"/>
      <c r="L178">
        <f>IFERROR(MATCH(155,'マスタ'!$N$2:$N$246,0),"")</f>
        <v/>
      </c>
      <c r="M178">
        <f>IF(L178="","",INDEX('マスタ'!$A$2:$A$246,L178))</f>
        <v/>
      </c>
      <c r="N178">
        <f>IF(L178="","",INDEX('マスタ'!$B$2:$B$246,L178))</f>
        <v/>
      </c>
    </row>
    <row r="179">
      <c r="A179" s="29">
        <f>IF(M179="T",INDEX('設定'!$H$23:$H$34,N179),"")</f>
        <v/>
      </c>
      <c r="B179" s="29">
        <f>IF(OR(L179="",M179="B"),"",INDEX('マスタ'!$C$2:$C$246,L179))</f>
        <v/>
      </c>
      <c r="C179" s="29">
        <f>IF(M179="I",INDEX('マスタ'!$D$2:$D$246,L179)&amp;"","")</f>
        <v/>
      </c>
      <c r="D179" s="30">
        <f>IF(M179="I",INDEX('マスタ'!$M$2:$M$246,L179),"")</f>
        <v/>
      </c>
      <c r="F179" s="47">
        <f>IF(M179="I",INDEX('マスタ'!$F$2:$F$246,L179)&amp;"","")</f>
        <v/>
      </c>
      <c r="G179" s="48" t="n"/>
      <c r="I179" s="48">
        <f>IF(M179="I",IF(OR(G179="",D179=""),"",ROUND(D179*G179,0)),IF(M179="S",SUMIFS(I$24:I178,N$24:N178,N179,M$24:M178,"I"),""))</f>
        <v/>
      </c>
      <c r="K179" s="29" t="n"/>
      <c r="L179">
        <f>IFERROR(MATCH(156,'マスタ'!$N$2:$N$246,0),"")</f>
        <v/>
      </c>
      <c r="M179">
        <f>IF(L179="","",INDEX('マスタ'!$A$2:$A$246,L179))</f>
        <v/>
      </c>
      <c r="N179">
        <f>IF(L179="","",INDEX('マスタ'!$B$2:$B$246,L179))</f>
        <v/>
      </c>
    </row>
    <row r="180">
      <c r="A180" s="29">
        <f>IF(M180="T",INDEX('設定'!$H$23:$H$34,N180),"")</f>
        <v/>
      </c>
      <c r="B180" s="29">
        <f>IF(OR(L180="",M180="B"),"",INDEX('マスタ'!$C$2:$C$246,L180))</f>
        <v/>
      </c>
      <c r="C180" s="29">
        <f>IF(M180="I",INDEX('マスタ'!$D$2:$D$246,L180)&amp;"","")</f>
        <v/>
      </c>
      <c r="D180" s="30">
        <f>IF(M180="I",INDEX('マスタ'!$M$2:$M$246,L180),"")</f>
        <v/>
      </c>
      <c r="F180" s="47">
        <f>IF(M180="I",INDEX('マスタ'!$F$2:$F$246,L180)&amp;"","")</f>
        <v/>
      </c>
      <c r="G180" s="48" t="n"/>
      <c r="I180" s="48">
        <f>IF(M180="I",IF(OR(G180="",D180=""),"",ROUND(D180*G180,0)),IF(M180="S",SUMIFS(I$24:I179,N$24:N179,N180,M$24:M179,"I"),""))</f>
        <v/>
      </c>
      <c r="K180" s="29" t="n"/>
      <c r="L180">
        <f>IFERROR(MATCH(157,'マスタ'!$N$2:$N$246,0),"")</f>
        <v/>
      </c>
      <c r="M180">
        <f>IF(L180="","",INDEX('マスタ'!$A$2:$A$246,L180))</f>
        <v/>
      </c>
      <c r="N180">
        <f>IF(L180="","",INDEX('マスタ'!$B$2:$B$246,L180))</f>
        <v/>
      </c>
    </row>
    <row r="181">
      <c r="A181" s="29">
        <f>IF(M181="T",INDEX('設定'!$H$23:$H$34,N181),"")</f>
        <v/>
      </c>
      <c r="B181" s="29">
        <f>IF(OR(L181="",M181="B"),"",INDEX('マスタ'!$C$2:$C$246,L181))</f>
        <v/>
      </c>
      <c r="C181" s="29">
        <f>IF(M181="I",INDEX('マスタ'!$D$2:$D$246,L181)&amp;"","")</f>
        <v/>
      </c>
      <c r="D181" s="30">
        <f>IF(M181="I",INDEX('マスタ'!$M$2:$M$246,L181),"")</f>
        <v/>
      </c>
      <c r="F181" s="47">
        <f>IF(M181="I",INDEX('マスタ'!$F$2:$F$246,L181)&amp;"","")</f>
        <v/>
      </c>
      <c r="G181" s="48" t="n"/>
      <c r="I181" s="48">
        <f>IF(M181="I",IF(OR(G181="",D181=""),"",ROUND(D181*G181,0)),IF(M181="S",SUMIFS(I$24:I180,N$24:N180,N181,M$24:M180,"I"),""))</f>
        <v/>
      </c>
      <c r="K181" s="29" t="n"/>
      <c r="L181">
        <f>IFERROR(MATCH(158,'マスタ'!$N$2:$N$246,0),"")</f>
        <v/>
      </c>
      <c r="M181">
        <f>IF(L181="","",INDEX('マスタ'!$A$2:$A$246,L181))</f>
        <v/>
      </c>
      <c r="N181">
        <f>IF(L181="","",INDEX('マスタ'!$B$2:$B$246,L181))</f>
        <v/>
      </c>
    </row>
    <row r="182">
      <c r="A182" s="29">
        <f>IF(M182="T",INDEX('設定'!$H$23:$H$34,N182),"")</f>
        <v/>
      </c>
      <c r="B182" s="29">
        <f>IF(OR(L182="",M182="B"),"",INDEX('マスタ'!$C$2:$C$246,L182))</f>
        <v/>
      </c>
      <c r="C182" s="29">
        <f>IF(M182="I",INDEX('マスタ'!$D$2:$D$246,L182)&amp;"","")</f>
        <v/>
      </c>
      <c r="D182" s="30">
        <f>IF(M182="I",INDEX('マスタ'!$M$2:$M$246,L182),"")</f>
        <v/>
      </c>
      <c r="F182" s="47">
        <f>IF(M182="I",INDEX('マスタ'!$F$2:$F$246,L182)&amp;"","")</f>
        <v/>
      </c>
      <c r="G182" s="48" t="n"/>
      <c r="I182" s="48">
        <f>IF(M182="I",IF(OR(G182="",D182=""),"",ROUND(D182*G182,0)),IF(M182="S",SUMIFS(I$24:I181,N$24:N181,N182,M$24:M181,"I"),""))</f>
        <v/>
      </c>
      <c r="K182" s="29" t="n"/>
      <c r="L182">
        <f>IFERROR(MATCH(159,'マスタ'!$N$2:$N$246,0),"")</f>
        <v/>
      </c>
      <c r="M182">
        <f>IF(L182="","",INDEX('マスタ'!$A$2:$A$246,L182))</f>
        <v/>
      </c>
      <c r="N182">
        <f>IF(L182="","",INDEX('マスタ'!$B$2:$B$246,L182))</f>
        <v/>
      </c>
    </row>
    <row r="183">
      <c r="A183" s="29">
        <f>IF(M183="T",INDEX('設定'!$H$23:$H$34,N183),"")</f>
        <v/>
      </c>
      <c r="B183" s="29">
        <f>IF(OR(L183="",M183="B"),"",INDEX('マスタ'!$C$2:$C$246,L183))</f>
        <v/>
      </c>
      <c r="C183" s="29">
        <f>IF(M183="I",INDEX('マスタ'!$D$2:$D$246,L183)&amp;"","")</f>
        <v/>
      </c>
      <c r="D183" s="30">
        <f>IF(M183="I",INDEX('マスタ'!$M$2:$M$246,L183),"")</f>
        <v/>
      </c>
      <c r="F183" s="47">
        <f>IF(M183="I",INDEX('マスタ'!$F$2:$F$246,L183)&amp;"","")</f>
        <v/>
      </c>
      <c r="G183" s="48" t="n"/>
      <c r="I183" s="48">
        <f>IF(M183="I",IF(OR(G183="",D183=""),"",ROUND(D183*G183,0)),IF(M183="S",SUMIFS(I$24:I182,N$24:N182,N183,M$24:M182,"I"),""))</f>
        <v/>
      </c>
      <c r="K183" s="29" t="n"/>
      <c r="L183">
        <f>IFERROR(MATCH(160,'マスタ'!$N$2:$N$246,0),"")</f>
        <v/>
      </c>
      <c r="M183">
        <f>IF(L183="","",INDEX('マスタ'!$A$2:$A$246,L183))</f>
        <v/>
      </c>
      <c r="N183">
        <f>IF(L183="","",INDEX('マスタ'!$B$2:$B$246,L183))</f>
        <v/>
      </c>
    </row>
    <row r="184">
      <c r="A184" s="29">
        <f>IF(M184="T",INDEX('設定'!$H$23:$H$34,N184),"")</f>
        <v/>
      </c>
      <c r="B184" s="29">
        <f>IF(OR(L184="",M184="B"),"",INDEX('マスタ'!$C$2:$C$246,L184))</f>
        <v/>
      </c>
      <c r="C184" s="29">
        <f>IF(M184="I",INDEX('マスタ'!$D$2:$D$246,L184)&amp;"","")</f>
        <v/>
      </c>
      <c r="D184" s="30">
        <f>IF(M184="I",INDEX('マスタ'!$M$2:$M$246,L184),"")</f>
        <v/>
      </c>
      <c r="F184" s="47">
        <f>IF(M184="I",INDEX('マスタ'!$F$2:$F$246,L184)&amp;"","")</f>
        <v/>
      </c>
      <c r="G184" s="48" t="n"/>
      <c r="I184" s="48">
        <f>IF(M184="I",IF(OR(G184="",D184=""),"",ROUND(D184*G184,0)),IF(M184="S",SUMIFS(I$24:I183,N$24:N183,N184,M$24:M183,"I"),""))</f>
        <v/>
      </c>
      <c r="K184" s="29" t="n"/>
      <c r="L184">
        <f>IFERROR(MATCH(161,'マスタ'!$N$2:$N$246,0),"")</f>
        <v/>
      </c>
      <c r="M184">
        <f>IF(L184="","",INDEX('マスタ'!$A$2:$A$246,L184))</f>
        <v/>
      </c>
      <c r="N184">
        <f>IF(L184="","",INDEX('マスタ'!$B$2:$B$246,L184))</f>
        <v/>
      </c>
    </row>
    <row r="185">
      <c r="A185" s="29">
        <f>IF(M185="T",INDEX('設定'!$H$23:$H$34,N185),"")</f>
        <v/>
      </c>
      <c r="B185" s="29">
        <f>IF(OR(L185="",M185="B"),"",INDEX('マスタ'!$C$2:$C$246,L185))</f>
        <v/>
      </c>
      <c r="C185" s="29">
        <f>IF(M185="I",INDEX('マスタ'!$D$2:$D$246,L185)&amp;"","")</f>
        <v/>
      </c>
      <c r="D185" s="30">
        <f>IF(M185="I",INDEX('マスタ'!$M$2:$M$246,L185),"")</f>
        <v/>
      </c>
      <c r="F185" s="47">
        <f>IF(M185="I",INDEX('マスタ'!$F$2:$F$246,L185)&amp;"","")</f>
        <v/>
      </c>
      <c r="G185" s="48" t="n"/>
      <c r="I185" s="48">
        <f>IF(M185="I",IF(OR(G185="",D185=""),"",ROUND(D185*G185,0)),IF(M185="S",SUMIFS(I$24:I184,N$24:N184,N185,M$24:M184,"I"),""))</f>
        <v/>
      </c>
      <c r="K185" s="29" t="n"/>
      <c r="L185">
        <f>IFERROR(MATCH(162,'マスタ'!$N$2:$N$246,0),"")</f>
        <v/>
      </c>
      <c r="M185">
        <f>IF(L185="","",INDEX('マスタ'!$A$2:$A$246,L185))</f>
        <v/>
      </c>
      <c r="N185">
        <f>IF(L185="","",INDEX('マスタ'!$B$2:$B$246,L185))</f>
        <v/>
      </c>
    </row>
    <row r="186">
      <c r="A186" s="29">
        <f>IF(M186="T",INDEX('設定'!$H$23:$H$34,N186),"")</f>
        <v/>
      </c>
      <c r="B186" s="29">
        <f>IF(OR(L186="",M186="B"),"",INDEX('マスタ'!$C$2:$C$246,L186))</f>
        <v/>
      </c>
      <c r="C186" s="29">
        <f>IF(M186="I",INDEX('マスタ'!$D$2:$D$246,L186)&amp;"","")</f>
        <v/>
      </c>
      <c r="D186" s="30">
        <f>IF(M186="I",INDEX('マスタ'!$M$2:$M$246,L186),"")</f>
        <v/>
      </c>
      <c r="F186" s="47">
        <f>IF(M186="I",INDEX('マスタ'!$F$2:$F$246,L186)&amp;"","")</f>
        <v/>
      </c>
      <c r="G186" s="48" t="n"/>
      <c r="I186" s="48">
        <f>IF(M186="I",IF(OR(G186="",D186=""),"",ROUND(D186*G186,0)),IF(M186="S",SUMIFS(I$24:I185,N$24:N185,N186,M$24:M185,"I"),""))</f>
        <v/>
      </c>
      <c r="K186" s="29" t="n"/>
      <c r="L186">
        <f>IFERROR(MATCH(163,'マスタ'!$N$2:$N$246,0),"")</f>
        <v/>
      </c>
      <c r="M186">
        <f>IF(L186="","",INDEX('マスタ'!$A$2:$A$246,L186))</f>
        <v/>
      </c>
      <c r="N186">
        <f>IF(L186="","",INDEX('マスタ'!$B$2:$B$246,L186))</f>
        <v/>
      </c>
    </row>
    <row r="187">
      <c r="A187" s="29">
        <f>IF(M187="T",INDEX('設定'!$H$23:$H$34,N187),"")</f>
        <v/>
      </c>
      <c r="B187" s="29">
        <f>IF(OR(L187="",M187="B"),"",INDEX('マスタ'!$C$2:$C$246,L187))</f>
        <v/>
      </c>
      <c r="C187" s="29">
        <f>IF(M187="I",INDEX('マスタ'!$D$2:$D$246,L187)&amp;"","")</f>
        <v/>
      </c>
      <c r="D187" s="30">
        <f>IF(M187="I",INDEX('マスタ'!$M$2:$M$246,L187),"")</f>
        <v/>
      </c>
      <c r="F187" s="47">
        <f>IF(M187="I",INDEX('マスタ'!$F$2:$F$246,L187)&amp;"","")</f>
        <v/>
      </c>
      <c r="G187" s="48" t="n"/>
      <c r="I187" s="48">
        <f>IF(M187="I",IF(OR(G187="",D187=""),"",ROUND(D187*G187,0)),IF(M187="S",SUMIFS(I$24:I186,N$24:N186,N187,M$24:M186,"I"),""))</f>
        <v/>
      </c>
      <c r="K187" s="29" t="n"/>
      <c r="L187">
        <f>IFERROR(MATCH(164,'マスタ'!$N$2:$N$246,0),"")</f>
        <v/>
      </c>
      <c r="M187">
        <f>IF(L187="","",INDEX('マスタ'!$A$2:$A$246,L187))</f>
        <v/>
      </c>
      <c r="N187">
        <f>IF(L187="","",INDEX('マスタ'!$B$2:$B$246,L187))</f>
        <v/>
      </c>
    </row>
    <row r="188">
      <c r="A188" s="29">
        <f>IF(M188="T",INDEX('設定'!$H$23:$H$34,N188),"")</f>
        <v/>
      </c>
      <c r="B188" s="29">
        <f>IF(OR(L188="",M188="B"),"",INDEX('マスタ'!$C$2:$C$246,L188))</f>
        <v/>
      </c>
      <c r="C188" s="29">
        <f>IF(M188="I",INDEX('マスタ'!$D$2:$D$246,L188)&amp;"","")</f>
        <v/>
      </c>
      <c r="D188" s="30">
        <f>IF(M188="I",INDEX('マスタ'!$M$2:$M$246,L188),"")</f>
        <v/>
      </c>
      <c r="F188" s="47">
        <f>IF(M188="I",INDEX('マスタ'!$F$2:$F$246,L188)&amp;"","")</f>
        <v/>
      </c>
      <c r="G188" s="48" t="n"/>
      <c r="I188" s="48">
        <f>IF(M188="I",IF(OR(G188="",D188=""),"",ROUND(D188*G188,0)),IF(M188="S",SUMIFS(I$24:I187,N$24:N187,N188,M$24:M187,"I"),""))</f>
        <v/>
      </c>
      <c r="K188" s="29" t="n"/>
      <c r="L188">
        <f>IFERROR(MATCH(165,'マスタ'!$N$2:$N$246,0),"")</f>
        <v/>
      </c>
      <c r="M188">
        <f>IF(L188="","",INDEX('マスタ'!$A$2:$A$246,L188))</f>
        <v/>
      </c>
      <c r="N188">
        <f>IF(L188="","",INDEX('マスタ'!$B$2:$B$246,L188))</f>
        <v/>
      </c>
    </row>
    <row r="189">
      <c r="A189" s="29">
        <f>IF(M189="T",INDEX('設定'!$H$23:$H$34,N189),"")</f>
        <v/>
      </c>
      <c r="B189" s="29">
        <f>IF(OR(L189="",M189="B"),"",INDEX('マスタ'!$C$2:$C$246,L189))</f>
        <v/>
      </c>
      <c r="C189" s="29">
        <f>IF(M189="I",INDEX('マスタ'!$D$2:$D$246,L189)&amp;"","")</f>
        <v/>
      </c>
      <c r="D189" s="30">
        <f>IF(M189="I",INDEX('マスタ'!$M$2:$M$246,L189),"")</f>
        <v/>
      </c>
      <c r="F189" s="47">
        <f>IF(M189="I",INDEX('マスタ'!$F$2:$F$246,L189)&amp;"","")</f>
        <v/>
      </c>
      <c r="G189" s="48" t="n"/>
      <c r="I189" s="48">
        <f>IF(M189="I",IF(OR(G189="",D189=""),"",ROUND(D189*G189,0)),IF(M189="S",SUMIFS(I$24:I188,N$24:N188,N189,M$24:M188,"I"),""))</f>
        <v/>
      </c>
      <c r="K189" s="29" t="n"/>
      <c r="L189">
        <f>IFERROR(MATCH(166,'マスタ'!$N$2:$N$246,0),"")</f>
        <v/>
      </c>
      <c r="M189">
        <f>IF(L189="","",INDEX('マスタ'!$A$2:$A$246,L189))</f>
        <v/>
      </c>
      <c r="N189">
        <f>IF(L189="","",INDEX('マスタ'!$B$2:$B$246,L189))</f>
        <v/>
      </c>
    </row>
    <row r="190">
      <c r="A190" s="29">
        <f>IF(M190="T",INDEX('設定'!$H$23:$H$34,N190),"")</f>
        <v/>
      </c>
      <c r="B190" s="29">
        <f>IF(OR(L190="",M190="B"),"",INDEX('マスタ'!$C$2:$C$246,L190))</f>
        <v/>
      </c>
      <c r="C190" s="29">
        <f>IF(M190="I",INDEX('マスタ'!$D$2:$D$246,L190)&amp;"","")</f>
        <v/>
      </c>
      <c r="D190" s="30">
        <f>IF(M190="I",INDEX('マスタ'!$M$2:$M$246,L190),"")</f>
        <v/>
      </c>
      <c r="F190" s="47">
        <f>IF(M190="I",INDEX('マスタ'!$F$2:$F$246,L190)&amp;"","")</f>
        <v/>
      </c>
      <c r="G190" s="48" t="n"/>
      <c r="I190" s="48">
        <f>IF(M190="I",IF(OR(G190="",D190=""),"",ROUND(D190*G190,0)),IF(M190="S",SUMIFS(I$24:I189,N$24:N189,N190,M$24:M189,"I"),""))</f>
        <v/>
      </c>
      <c r="K190" s="29" t="n"/>
      <c r="L190">
        <f>IFERROR(MATCH(167,'マスタ'!$N$2:$N$246,0),"")</f>
        <v/>
      </c>
      <c r="M190">
        <f>IF(L190="","",INDEX('マスタ'!$A$2:$A$246,L190))</f>
        <v/>
      </c>
      <c r="N190">
        <f>IF(L190="","",INDEX('マスタ'!$B$2:$B$246,L190))</f>
        <v/>
      </c>
    </row>
    <row r="191">
      <c r="A191" s="29">
        <f>IF(M191="T",INDEX('設定'!$H$23:$H$34,N191),"")</f>
        <v/>
      </c>
      <c r="B191" s="29">
        <f>IF(OR(L191="",M191="B"),"",INDEX('マスタ'!$C$2:$C$246,L191))</f>
        <v/>
      </c>
      <c r="C191" s="29">
        <f>IF(M191="I",INDEX('マスタ'!$D$2:$D$246,L191)&amp;"","")</f>
        <v/>
      </c>
      <c r="D191" s="30">
        <f>IF(M191="I",INDEX('マスタ'!$M$2:$M$246,L191),"")</f>
        <v/>
      </c>
      <c r="F191" s="47">
        <f>IF(M191="I",INDEX('マスタ'!$F$2:$F$246,L191)&amp;"","")</f>
        <v/>
      </c>
      <c r="G191" s="48" t="n"/>
      <c r="I191" s="48">
        <f>IF(M191="I",IF(OR(G191="",D191=""),"",ROUND(D191*G191,0)),IF(M191="S",SUMIFS(I$24:I190,N$24:N190,N191,M$24:M190,"I"),""))</f>
        <v/>
      </c>
      <c r="K191" s="29" t="n"/>
      <c r="L191">
        <f>IFERROR(MATCH(168,'マスタ'!$N$2:$N$246,0),"")</f>
        <v/>
      </c>
      <c r="M191">
        <f>IF(L191="","",INDEX('マスタ'!$A$2:$A$246,L191))</f>
        <v/>
      </c>
      <c r="N191">
        <f>IF(L191="","",INDEX('マスタ'!$B$2:$B$246,L191))</f>
        <v/>
      </c>
    </row>
    <row r="192">
      <c r="A192" s="29">
        <f>IF(M192="T",INDEX('設定'!$H$23:$H$34,N192),"")</f>
        <v/>
      </c>
      <c r="B192" s="29">
        <f>IF(OR(L192="",M192="B"),"",INDEX('マスタ'!$C$2:$C$246,L192))</f>
        <v/>
      </c>
      <c r="C192" s="29">
        <f>IF(M192="I",INDEX('マスタ'!$D$2:$D$246,L192)&amp;"","")</f>
        <v/>
      </c>
      <c r="D192" s="30">
        <f>IF(M192="I",INDEX('マスタ'!$M$2:$M$246,L192),"")</f>
        <v/>
      </c>
      <c r="F192" s="47">
        <f>IF(M192="I",INDEX('マスタ'!$F$2:$F$246,L192)&amp;"","")</f>
        <v/>
      </c>
      <c r="G192" s="48" t="n"/>
      <c r="I192" s="48">
        <f>IF(M192="I",IF(OR(G192="",D192=""),"",ROUND(D192*G192,0)),IF(M192="S",SUMIFS(I$24:I191,N$24:N191,N192,M$24:M191,"I"),""))</f>
        <v/>
      </c>
      <c r="K192" s="29" t="n"/>
      <c r="L192">
        <f>IFERROR(MATCH(169,'マスタ'!$N$2:$N$246,0),"")</f>
        <v/>
      </c>
      <c r="M192">
        <f>IF(L192="","",INDEX('マスタ'!$A$2:$A$246,L192))</f>
        <v/>
      </c>
      <c r="N192">
        <f>IF(L192="","",INDEX('マスタ'!$B$2:$B$246,L192))</f>
        <v/>
      </c>
    </row>
    <row r="193">
      <c r="A193" s="29">
        <f>IF(M193="T",INDEX('設定'!$H$23:$H$34,N193),"")</f>
        <v/>
      </c>
      <c r="B193" s="29">
        <f>IF(OR(L193="",M193="B"),"",INDEX('マスタ'!$C$2:$C$246,L193))</f>
        <v/>
      </c>
      <c r="C193" s="29">
        <f>IF(M193="I",INDEX('マスタ'!$D$2:$D$246,L193)&amp;"","")</f>
        <v/>
      </c>
      <c r="D193" s="30">
        <f>IF(M193="I",INDEX('マスタ'!$M$2:$M$246,L193),"")</f>
        <v/>
      </c>
      <c r="F193" s="47">
        <f>IF(M193="I",INDEX('マスタ'!$F$2:$F$246,L193)&amp;"","")</f>
        <v/>
      </c>
      <c r="G193" s="48" t="n"/>
      <c r="I193" s="48">
        <f>IF(M193="I",IF(OR(G193="",D193=""),"",ROUND(D193*G193,0)),IF(M193="S",SUMIFS(I$24:I192,N$24:N192,N193,M$24:M192,"I"),""))</f>
        <v/>
      </c>
      <c r="K193" s="29" t="n"/>
      <c r="L193">
        <f>IFERROR(MATCH(170,'マスタ'!$N$2:$N$246,0),"")</f>
        <v/>
      </c>
      <c r="M193">
        <f>IF(L193="","",INDEX('マスタ'!$A$2:$A$246,L193))</f>
        <v/>
      </c>
      <c r="N193">
        <f>IF(L193="","",INDEX('マスタ'!$B$2:$B$246,L193))</f>
        <v/>
      </c>
    </row>
    <row r="194">
      <c r="A194" s="29">
        <f>IF(M194="T",INDEX('設定'!$H$23:$H$34,N194),"")</f>
        <v/>
      </c>
      <c r="B194" s="29">
        <f>IF(OR(L194="",M194="B"),"",INDEX('マスタ'!$C$2:$C$246,L194))</f>
        <v/>
      </c>
      <c r="C194" s="29">
        <f>IF(M194="I",INDEX('マスタ'!$D$2:$D$246,L194)&amp;"","")</f>
        <v/>
      </c>
      <c r="D194" s="30">
        <f>IF(M194="I",INDEX('マスタ'!$M$2:$M$246,L194),"")</f>
        <v/>
      </c>
      <c r="F194" s="47">
        <f>IF(M194="I",INDEX('マスタ'!$F$2:$F$246,L194)&amp;"","")</f>
        <v/>
      </c>
      <c r="G194" s="48" t="n"/>
      <c r="I194" s="48">
        <f>IF(M194="I",IF(OR(G194="",D194=""),"",ROUND(D194*G194,0)),IF(M194="S",SUMIFS(I$24:I193,N$24:N193,N194,M$24:M193,"I"),""))</f>
        <v/>
      </c>
      <c r="K194" s="29" t="n"/>
      <c r="L194">
        <f>IFERROR(MATCH(171,'マスタ'!$N$2:$N$246,0),"")</f>
        <v/>
      </c>
      <c r="M194">
        <f>IF(L194="","",INDEX('マスタ'!$A$2:$A$246,L194))</f>
        <v/>
      </c>
      <c r="N194">
        <f>IF(L194="","",INDEX('マスタ'!$B$2:$B$246,L194))</f>
        <v/>
      </c>
    </row>
    <row r="195">
      <c r="A195" s="29">
        <f>IF(M195="T",INDEX('設定'!$H$23:$H$34,N195),"")</f>
        <v/>
      </c>
      <c r="B195" s="29">
        <f>IF(OR(L195="",M195="B"),"",INDEX('マスタ'!$C$2:$C$246,L195))</f>
        <v/>
      </c>
      <c r="C195" s="29">
        <f>IF(M195="I",INDEX('マスタ'!$D$2:$D$246,L195)&amp;"","")</f>
        <v/>
      </c>
      <c r="D195" s="30">
        <f>IF(M195="I",INDEX('マスタ'!$M$2:$M$246,L195),"")</f>
        <v/>
      </c>
      <c r="F195" s="47">
        <f>IF(M195="I",INDEX('マスタ'!$F$2:$F$246,L195)&amp;"","")</f>
        <v/>
      </c>
      <c r="G195" s="48" t="n"/>
      <c r="I195" s="48">
        <f>IF(M195="I",IF(OR(G195="",D195=""),"",ROUND(D195*G195,0)),IF(M195="S",SUMIFS(I$24:I194,N$24:N194,N195,M$24:M194,"I"),""))</f>
        <v/>
      </c>
      <c r="K195" s="29" t="n"/>
      <c r="L195">
        <f>IFERROR(MATCH(172,'マスタ'!$N$2:$N$246,0),"")</f>
        <v/>
      </c>
      <c r="M195">
        <f>IF(L195="","",INDEX('マスタ'!$A$2:$A$246,L195))</f>
        <v/>
      </c>
      <c r="N195">
        <f>IF(L195="","",INDEX('マスタ'!$B$2:$B$246,L195))</f>
        <v/>
      </c>
    </row>
    <row r="196">
      <c r="A196" s="29">
        <f>IF(M196="T",INDEX('設定'!$H$23:$H$34,N196),"")</f>
        <v/>
      </c>
      <c r="B196" s="29">
        <f>IF(OR(L196="",M196="B"),"",INDEX('マスタ'!$C$2:$C$246,L196))</f>
        <v/>
      </c>
      <c r="C196" s="29">
        <f>IF(M196="I",INDEX('マスタ'!$D$2:$D$246,L196)&amp;"","")</f>
        <v/>
      </c>
      <c r="D196" s="30">
        <f>IF(M196="I",INDEX('マスタ'!$M$2:$M$246,L196),"")</f>
        <v/>
      </c>
      <c r="F196" s="47">
        <f>IF(M196="I",INDEX('マスタ'!$F$2:$F$246,L196)&amp;"","")</f>
        <v/>
      </c>
      <c r="G196" s="48" t="n"/>
      <c r="I196" s="48">
        <f>IF(M196="I",IF(OR(G196="",D196=""),"",ROUND(D196*G196,0)),IF(M196="S",SUMIFS(I$24:I195,N$24:N195,N196,M$24:M195,"I"),""))</f>
        <v/>
      </c>
      <c r="K196" s="29" t="n"/>
      <c r="L196">
        <f>IFERROR(MATCH(173,'マスタ'!$N$2:$N$246,0),"")</f>
        <v/>
      </c>
      <c r="M196">
        <f>IF(L196="","",INDEX('マスタ'!$A$2:$A$246,L196))</f>
        <v/>
      </c>
      <c r="N196">
        <f>IF(L196="","",INDEX('マスタ'!$B$2:$B$246,L196))</f>
        <v/>
      </c>
    </row>
    <row r="197">
      <c r="A197" s="29">
        <f>IF(M197="T",INDEX('設定'!$H$23:$H$34,N197),"")</f>
        <v/>
      </c>
      <c r="B197" s="29">
        <f>IF(OR(L197="",M197="B"),"",INDEX('マスタ'!$C$2:$C$246,L197))</f>
        <v/>
      </c>
      <c r="C197" s="29">
        <f>IF(M197="I",INDEX('マスタ'!$D$2:$D$246,L197)&amp;"","")</f>
        <v/>
      </c>
      <c r="D197" s="30">
        <f>IF(M197="I",INDEX('マスタ'!$M$2:$M$246,L197),"")</f>
        <v/>
      </c>
      <c r="F197" s="47">
        <f>IF(M197="I",INDEX('マスタ'!$F$2:$F$246,L197)&amp;"","")</f>
        <v/>
      </c>
      <c r="G197" s="48" t="n"/>
      <c r="I197" s="48">
        <f>IF(M197="I",IF(OR(G197="",D197=""),"",ROUND(D197*G197,0)),IF(M197="S",SUMIFS(I$24:I196,N$24:N196,N197,M$24:M196,"I"),""))</f>
        <v/>
      </c>
      <c r="K197" s="29" t="n"/>
      <c r="L197">
        <f>IFERROR(MATCH(174,'マスタ'!$N$2:$N$246,0),"")</f>
        <v/>
      </c>
      <c r="M197">
        <f>IF(L197="","",INDEX('マスタ'!$A$2:$A$246,L197))</f>
        <v/>
      </c>
      <c r="N197">
        <f>IF(L197="","",INDEX('マスタ'!$B$2:$B$246,L197))</f>
        <v/>
      </c>
    </row>
    <row r="198">
      <c r="A198" s="29">
        <f>IF(M198="T",INDEX('設定'!$H$23:$H$34,N198),"")</f>
        <v/>
      </c>
      <c r="B198" s="29">
        <f>IF(OR(L198="",M198="B"),"",INDEX('マスタ'!$C$2:$C$246,L198))</f>
        <v/>
      </c>
      <c r="C198" s="29">
        <f>IF(M198="I",INDEX('マスタ'!$D$2:$D$246,L198)&amp;"","")</f>
        <v/>
      </c>
      <c r="D198" s="30">
        <f>IF(M198="I",INDEX('マスタ'!$M$2:$M$246,L198),"")</f>
        <v/>
      </c>
      <c r="F198" s="47">
        <f>IF(M198="I",INDEX('マスタ'!$F$2:$F$246,L198)&amp;"","")</f>
        <v/>
      </c>
      <c r="G198" s="48" t="n"/>
      <c r="I198" s="48">
        <f>IF(M198="I",IF(OR(G198="",D198=""),"",ROUND(D198*G198,0)),IF(M198="S",SUMIFS(I$24:I197,N$24:N197,N198,M$24:M197,"I"),""))</f>
        <v/>
      </c>
      <c r="K198" s="29" t="n"/>
      <c r="L198">
        <f>IFERROR(MATCH(175,'マスタ'!$N$2:$N$246,0),"")</f>
        <v/>
      </c>
      <c r="M198">
        <f>IF(L198="","",INDEX('マスタ'!$A$2:$A$246,L198))</f>
        <v/>
      </c>
      <c r="N198">
        <f>IF(L198="","",INDEX('マスタ'!$B$2:$B$246,L198))</f>
        <v/>
      </c>
    </row>
    <row r="199">
      <c r="A199" s="29">
        <f>IF(M199="T",INDEX('設定'!$H$23:$H$34,N199),"")</f>
        <v/>
      </c>
      <c r="B199" s="29">
        <f>IF(OR(L199="",M199="B"),"",INDEX('マスタ'!$C$2:$C$246,L199))</f>
        <v/>
      </c>
      <c r="C199" s="29">
        <f>IF(M199="I",INDEX('マスタ'!$D$2:$D$246,L199)&amp;"","")</f>
        <v/>
      </c>
      <c r="D199" s="30">
        <f>IF(M199="I",INDEX('マスタ'!$M$2:$M$246,L199),"")</f>
        <v/>
      </c>
      <c r="F199" s="47">
        <f>IF(M199="I",INDEX('マスタ'!$F$2:$F$246,L199)&amp;"","")</f>
        <v/>
      </c>
      <c r="G199" s="48" t="n"/>
      <c r="I199" s="48">
        <f>IF(M199="I",IF(OR(G199="",D199=""),"",ROUND(D199*G199,0)),IF(M199="S",SUMIFS(I$24:I198,N$24:N198,N199,M$24:M198,"I"),""))</f>
        <v/>
      </c>
      <c r="K199" s="29" t="n"/>
      <c r="L199">
        <f>IFERROR(MATCH(176,'マスタ'!$N$2:$N$246,0),"")</f>
        <v/>
      </c>
      <c r="M199">
        <f>IF(L199="","",INDEX('マスタ'!$A$2:$A$246,L199))</f>
        <v/>
      </c>
      <c r="N199">
        <f>IF(L199="","",INDEX('マスタ'!$B$2:$B$246,L199))</f>
        <v/>
      </c>
    </row>
    <row r="200">
      <c r="A200" s="29">
        <f>IF(M200="T",INDEX('設定'!$H$23:$H$34,N200),"")</f>
        <v/>
      </c>
      <c r="B200" s="29">
        <f>IF(OR(L200="",M200="B"),"",INDEX('マスタ'!$C$2:$C$246,L200))</f>
        <v/>
      </c>
      <c r="C200" s="29">
        <f>IF(M200="I",INDEX('マスタ'!$D$2:$D$246,L200)&amp;"","")</f>
        <v/>
      </c>
      <c r="D200" s="30">
        <f>IF(M200="I",INDEX('マスタ'!$M$2:$M$246,L200),"")</f>
        <v/>
      </c>
      <c r="F200" s="47">
        <f>IF(M200="I",INDEX('マスタ'!$F$2:$F$246,L200)&amp;"","")</f>
        <v/>
      </c>
      <c r="G200" s="48" t="n"/>
      <c r="I200" s="48">
        <f>IF(M200="I",IF(OR(G200="",D200=""),"",ROUND(D200*G200,0)),IF(M200="S",SUMIFS(I$24:I199,N$24:N199,N200,M$24:M199,"I"),""))</f>
        <v/>
      </c>
      <c r="K200" s="29" t="n"/>
      <c r="L200">
        <f>IFERROR(MATCH(177,'マスタ'!$N$2:$N$246,0),"")</f>
        <v/>
      </c>
      <c r="M200">
        <f>IF(L200="","",INDEX('マスタ'!$A$2:$A$246,L200))</f>
        <v/>
      </c>
      <c r="N200">
        <f>IF(L200="","",INDEX('マスタ'!$B$2:$B$246,L200))</f>
        <v/>
      </c>
    </row>
    <row r="201">
      <c r="A201" s="29">
        <f>IF(M201="T",INDEX('設定'!$H$23:$H$34,N201),"")</f>
        <v/>
      </c>
      <c r="B201" s="29">
        <f>IF(OR(L201="",M201="B"),"",INDEX('マスタ'!$C$2:$C$246,L201))</f>
        <v/>
      </c>
      <c r="C201" s="29">
        <f>IF(M201="I",INDEX('マスタ'!$D$2:$D$246,L201)&amp;"","")</f>
        <v/>
      </c>
      <c r="D201" s="30">
        <f>IF(M201="I",INDEX('マスタ'!$M$2:$M$246,L201),"")</f>
        <v/>
      </c>
      <c r="F201" s="47">
        <f>IF(M201="I",INDEX('マスタ'!$F$2:$F$246,L201)&amp;"","")</f>
        <v/>
      </c>
      <c r="G201" s="48" t="n"/>
      <c r="I201" s="48">
        <f>IF(M201="I",IF(OR(G201="",D201=""),"",ROUND(D201*G201,0)),IF(M201="S",SUMIFS(I$24:I200,N$24:N200,N201,M$24:M200,"I"),""))</f>
        <v/>
      </c>
      <c r="K201" s="29" t="n"/>
      <c r="L201">
        <f>IFERROR(MATCH(178,'マスタ'!$N$2:$N$246,0),"")</f>
        <v/>
      </c>
      <c r="M201">
        <f>IF(L201="","",INDEX('マスタ'!$A$2:$A$246,L201))</f>
        <v/>
      </c>
      <c r="N201">
        <f>IF(L201="","",INDEX('マスタ'!$B$2:$B$246,L201))</f>
        <v/>
      </c>
    </row>
    <row r="202">
      <c r="A202" s="29">
        <f>IF(M202="T",INDEX('設定'!$H$23:$H$34,N202),"")</f>
        <v/>
      </c>
      <c r="B202" s="29">
        <f>IF(OR(L202="",M202="B"),"",INDEX('マスタ'!$C$2:$C$246,L202))</f>
        <v/>
      </c>
      <c r="C202" s="29">
        <f>IF(M202="I",INDEX('マスタ'!$D$2:$D$246,L202)&amp;"","")</f>
        <v/>
      </c>
      <c r="D202" s="30">
        <f>IF(M202="I",INDEX('マスタ'!$M$2:$M$246,L202),"")</f>
        <v/>
      </c>
      <c r="F202" s="47">
        <f>IF(M202="I",INDEX('マスタ'!$F$2:$F$246,L202)&amp;"","")</f>
        <v/>
      </c>
      <c r="G202" s="48" t="n"/>
      <c r="I202" s="48">
        <f>IF(M202="I",IF(OR(G202="",D202=""),"",ROUND(D202*G202,0)),IF(M202="S",SUMIFS(I$24:I201,N$24:N201,N202,M$24:M201,"I"),""))</f>
        <v/>
      </c>
      <c r="K202" s="29" t="n"/>
      <c r="L202">
        <f>IFERROR(MATCH(179,'マスタ'!$N$2:$N$246,0),"")</f>
        <v/>
      </c>
      <c r="M202">
        <f>IF(L202="","",INDEX('マスタ'!$A$2:$A$246,L202))</f>
        <v/>
      </c>
      <c r="N202">
        <f>IF(L202="","",INDEX('マスタ'!$B$2:$B$246,L202))</f>
        <v/>
      </c>
    </row>
    <row r="203">
      <c r="A203" s="29">
        <f>IF(M203="T",INDEX('設定'!$H$23:$H$34,N203),"")</f>
        <v/>
      </c>
      <c r="B203" s="29">
        <f>IF(OR(L203="",M203="B"),"",INDEX('マスタ'!$C$2:$C$246,L203))</f>
        <v/>
      </c>
      <c r="C203" s="29">
        <f>IF(M203="I",INDEX('マスタ'!$D$2:$D$246,L203)&amp;"","")</f>
        <v/>
      </c>
      <c r="D203" s="30">
        <f>IF(M203="I",INDEX('マスタ'!$M$2:$M$246,L203),"")</f>
        <v/>
      </c>
      <c r="F203" s="47">
        <f>IF(M203="I",INDEX('マスタ'!$F$2:$F$246,L203)&amp;"","")</f>
        <v/>
      </c>
      <c r="G203" s="48" t="n"/>
      <c r="I203" s="48">
        <f>IF(M203="I",IF(OR(G203="",D203=""),"",ROUND(D203*G203,0)),IF(M203="S",SUMIFS(I$24:I202,N$24:N202,N203,M$24:M202,"I"),""))</f>
        <v/>
      </c>
      <c r="K203" s="29" t="n"/>
      <c r="L203">
        <f>IFERROR(MATCH(180,'マスタ'!$N$2:$N$246,0),"")</f>
        <v/>
      </c>
      <c r="M203">
        <f>IF(L203="","",INDEX('マスタ'!$A$2:$A$246,L203))</f>
        <v/>
      </c>
      <c r="N203">
        <f>IF(L203="","",INDEX('マスタ'!$B$2:$B$246,L203))</f>
        <v/>
      </c>
    </row>
    <row r="204">
      <c r="A204" s="29">
        <f>IF(M204="T",INDEX('設定'!$H$23:$H$34,N204),"")</f>
        <v/>
      </c>
      <c r="B204" s="29">
        <f>IF(OR(L204="",M204="B"),"",INDEX('マスタ'!$C$2:$C$246,L204))</f>
        <v/>
      </c>
      <c r="C204" s="29">
        <f>IF(M204="I",INDEX('マスタ'!$D$2:$D$246,L204)&amp;"","")</f>
        <v/>
      </c>
      <c r="D204" s="30">
        <f>IF(M204="I",INDEX('マスタ'!$M$2:$M$246,L204),"")</f>
        <v/>
      </c>
      <c r="F204" s="47">
        <f>IF(M204="I",INDEX('マスタ'!$F$2:$F$246,L204)&amp;"","")</f>
        <v/>
      </c>
      <c r="G204" s="48" t="n"/>
      <c r="I204" s="48">
        <f>IF(M204="I",IF(OR(G204="",D204=""),"",ROUND(D204*G204,0)),IF(M204="S",SUMIFS(I$24:I203,N$24:N203,N204,M$24:M203,"I"),""))</f>
        <v/>
      </c>
      <c r="K204" s="29" t="n"/>
      <c r="L204">
        <f>IFERROR(MATCH(181,'マスタ'!$N$2:$N$246,0),"")</f>
        <v/>
      </c>
      <c r="M204">
        <f>IF(L204="","",INDEX('マスタ'!$A$2:$A$246,L204))</f>
        <v/>
      </c>
      <c r="N204">
        <f>IF(L204="","",INDEX('マスタ'!$B$2:$B$246,L204))</f>
        <v/>
      </c>
    </row>
    <row r="205">
      <c r="A205" s="29">
        <f>IF(M205="T",INDEX('設定'!$H$23:$H$34,N205),"")</f>
        <v/>
      </c>
      <c r="B205" s="29">
        <f>IF(OR(L205="",M205="B"),"",INDEX('マスタ'!$C$2:$C$246,L205))</f>
        <v/>
      </c>
      <c r="C205" s="29">
        <f>IF(M205="I",INDEX('マスタ'!$D$2:$D$246,L205)&amp;"","")</f>
        <v/>
      </c>
      <c r="D205" s="30">
        <f>IF(M205="I",INDEX('マスタ'!$M$2:$M$246,L205),"")</f>
        <v/>
      </c>
      <c r="F205" s="47">
        <f>IF(M205="I",INDEX('マスタ'!$F$2:$F$246,L205)&amp;"","")</f>
        <v/>
      </c>
      <c r="G205" s="48" t="n"/>
      <c r="I205" s="48">
        <f>IF(M205="I",IF(OR(G205="",D205=""),"",ROUND(D205*G205,0)),IF(M205="S",SUMIFS(I$24:I204,N$24:N204,N205,M$24:M204,"I"),""))</f>
        <v/>
      </c>
      <c r="K205" s="29" t="n"/>
      <c r="L205">
        <f>IFERROR(MATCH(182,'マスタ'!$N$2:$N$246,0),"")</f>
        <v/>
      </c>
      <c r="M205">
        <f>IF(L205="","",INDEX('マスタ'!$A$2:$A$246,L205))</f>
        <v/>
      </c>
      <c r="N205">
        <f>IF(L205="","",INDEX('マスタ'!$B$2:$B$246,L205))</f>
        <v/>
      </c>
    </row>
    <row r="206">
      <c r="A206" s="29">
        <f>IF(M206="T",INDEX('設定'!$H$23:$H$34,N206),"")</f>
        <v/>
      </c>
      <c r="B206" s="29">
        <f>IF(OR(L206="",M206="B"),"",INDEX('マスタ'!$C$2:$C$246,L206))</f>
        <v/>
      </c>
      <c r="C206" s="29">
        <f>IF(M206="I",INDEX('マスタ'!$D$2:$D$246,L206)&amp;"","")</f>
        <v/>
      </c>
      <c r="D206" s="30">
        <f>IF(M206="I",INDEX('マスタ'!$M$2:$M$246,L206),"")</f>
        <v/>
      </c>
      <c r="F206" s="47">
        <f>IF(M206="I",INDEX('マスタ'!$F$2:$F$246,L206)&amp;"","")</f>
        <v/>
      </c>
      <c r="G206" s="48" t="n"/>
      <c r="I206" s="48">
        <f>IF(M206="I",IF(OR(G206="",D206=""),"",ROUND(D206*G206,0)),IF(M206="S",SUMIFS(I$24:I205,N$24:N205,N206,M$24:M205,"I"),""))</f>
        <v/>
      </c>
      <c r="K206" s="29" t="n"/>
      <c r="L206">
        <f>IFERROR(MATCH(183,'マスタ'!$N$2:$N$246,0),"")</f>
        <v/>
      </c>
      <c r="M206">
        <f>IF(L206="","",INDEX('マスタ'!$A$2:$A$246,L206))</f>
        <v/>
      </c>
      <c r="N206">
        <f>IF(L206="","",INDEX('マスタ'!$B$2:$B$246,L206))</f>
        <v/>
      </c>
    </row>
    <row r="207">
      <c r="A207" s="29">
        <f>IF(M207="T",INDEX('設定'!$H$23:$H$34,N207),"")</f>
        <v/>
      </c>
      <c r="B207" s="29">
        <f>IF(OR(L207="",M207="B"),"",INDEX('マスタ'!$C$2:$C$246,L207))</f>
        <v/>
      </c>
      <c r="C207" s="29">
        <f>IF(M207="I",INDEX('マスタ'!$D$2:$D$246,L207)&amp;"","")</f>
        <v/>
      </c>
      <c r="D207" s="30">
        <f>IF(M207="I",INDEX('マスタ'!$M$2:$M$246,L207),"")</f>
        <v/>
      </c>
      <c r="F207" s="47">
        <f>IF(M207="I",INDEX('マスタ'!$F$2:$F$246,L207)&amp;"","")</f>
        <v/>
      </c>
      <c r="G207" s="48" t="n"/>
      <c r="I207" s="48">
        <f>IF(M207="I",IF(OR(G207="",D207=""),"",ROUND(D207*G207,0)),IF(M207="S",SUMIFS(I$24:I206,N$24:N206,N207,M$24:M206,"I"),""))</f>
        <v/>
      </c>
      <c r="K207" s="29" t="n"/>
      <c r="L207">
        <f>IFERROR(MATCH(184,'マスタ'!$N$2:$N$246,0),"")</f>
        <v/>
      </c>
      <c r="M207">
        <f>IF(L207="","",INDEX('マスタ'!$A$2:$A$246,L207))</f>
        <v/>
      </c>
      <c r="N207">
        <f>IF(L207="","",INDEX('マスタ'!$B$2:$B$246,L207))</f>
        <v/>
      </c>
    </row>
    <row r="208">
      <c r="A208" s="29">
        <f>IF(M208="T",INDEX('設定'!$H$23:$H$34,N208),"")</f>
        <v/>
      </c>
      <c r="B208" s="29">
        <f>IF(OR(L208="",M208="B"),"",INDEX('マスタ'!$C$2:$C$246,L208))</f>
        <v/>
      </c>
      <c r="C208" s="29">
        <f>IF(M208="I",INDEX('マスタ'!$D$2:$D$246,L208)&amp;"","")</f>
        <v/>
      </c>
      <c r="D208" s="30">
        <f>IF(M208="I",INDEX('マスタ'!$M$2:$M$246,L208),"")</f>
        <v/>
      </c>
      <c r="F208" s="47">
        <f>IF(M208="I",INDEX('マスタ'!$F$2:$F$246,L208)&amp;"","")</f>
        <v/>
      </c>
      <c r="G208" s="48" t="n"/>
      <c r="I208" s="48">
        <f>IF(M208="I",IF(OR(G208="",D208=""),"",ROUND(D208*G208,0)),IF(M208="S",SUMIFS(I$24:I207,N$24:N207,N208,M$24:M207,"I"),""))</f>
        <v/>
      </c>
      <c r="K208" s="29" t="n"/>
      <c r="L208">
        <f>IFERROR(MATCH(185,'マスタ'!$N$2:$N$246,0),"")</f>
        <v/>
      </c>
      <c r="M208">
        <f>IF(L208="","",INDEX('マスタ'!$A$2:$A$246,L208))</f>
        <v/>
      </c>
      <c r="N208">
        <f>IF(L208="","",INDEX('マスタ'!$B$2:$B$246,L208))</f>
        <v/>
      </c>
    </row>
    <row r="209">
      <c r="A209" s="29">
        <f>IF(M209="T",INDEX('設定'!$H$23:$H$34,N209),"")</f>
        <v/>
      </c>
      <c r="B209" s="29">
        <f>IF(OR(L209="",M209="B"),"",INDEX('マスタ'!$C$2:$C$246,L209))</f>
        <v/>
      </c>
      <c r="C209" s="29">
        <f>IF(M209="I",INDEX('マスタ'!$D$2:$D$246,L209)&amp;"","")</f>
        <v/>
      </c>
      <c r="D209" s="30">
        <f>IF(M209="I",INDEX('マスタ'!$M$2:$M$246,L209),"")</f>
        <v/>
      </c>
      <c r="F209" s="47">
        <f>IF(M209="I",INDEX('マスタ'!$F$2:$F$246,L209)&amp;"","")</f>
        <v/>
      </c>
      <c r="G209" s="48" t="n"/>
      <c r="I209" s="48">
        <f>IF(M209="I",IF(OR(G209="",D209=""),"",ROUND(D209*G209,0)),IF(M209="S",SUMIFS(I$24:I208,N$24:N208,N209,M$24:M208,"I"),""))</f>
        <v/>
      </c>
      <c r="K209" s="29" t="n"/>
      <c r="L209">
        <f>IFERROR(MATCH(186,'マスタ'!$N$2:$N$246,0),"")</f>
        <v/>
      </c>
      <c r="M209">
        <f>IF(L209="","",INDEX('マスタ'!$A$2:$A$246,L209))</f>
        <v/>
      </c>
      <c r="N209">
        <f>IF(L209="","",INDEX('マスタ'!$B$2:$B$246,L209))</f>
        <v/>
      </c>
    </row>
    <row r="210">
      <c r="A210" s="29">
        <f>IF(M210="T",INDEX('設定'!$H$23:$H$34,N210),"")</f>
        <v/>
      </c>
      <c r="B210" s="29">
        <f>IF(OR(L210="",M210="B"),"",INDEX('マスタ'!$C$2:$C$246,L210))</f>
        <v/>
      </c>
      <c r="C210" s="29">
        <f>IF(M210="I",INDEX('マスタ'!$D$2:$D$246,L210)&amp;"","")</f>
        <v/>
      </c>
      <c r="D210" s="30">
        <f>IF(M210="I",INDEX('マスタ'!$M$2:$M$246,L210),"")</f>
        <v/>
      </c>
      <c r="F210" s="47">
        <f>IF(M210="I",INDEX('マスタ'!$F$2:$F$246,L210)&amp;"","")</f>
        <v/>
      </c>
      <c r="G210" s="48" t="n"/>
      <c r="I210" s="48">
        <f>IF(M210="I",IF(OR(G210="",D210=""),"",ROUND(D210*G210,0)),IF(M210="S",SUMIFS(I$24:I209,N$24:N209,N210,M$24:M209,"I"),""))</f>
        <v/>
      </c>
      <c r="K210" s="29" t="n"/>
      <c r="L210">
        <f>IFERROR(MATCH(187,'マスタ'!$N$2:$N$246,0),"")</f>
        <v/>
      </c>
      <c r="M210">
        <f>IF(L210="","",INDEX('マスタ'!$A$2:$A$246,L210))</f>
        <v/>
      </c>
      <c r="N210">
        <f>IF(L210="","",INDEX('マスタ'!$B$2:$B$246,L210))</f>
        <v/>
      </c>
    </row>
    <row r="211">
      <c r="A211" s="29">
        <f>IF(M211="T",INDEX('設定'!$H$23:$H$34,N211),"")</f>
        <v/>
      </c>
      <c r="B211" s="29">
        <f>IF(OR(L211="",M211="B"),"",INDEX('マスタ'!$C$2:$C$246,L211))</f>
        <v/>
      </c>
      <c r="C211" s="29">
        <f>IF(M211="I",INDEX('マスタ'!$D$2:$D$246,L211)&amp;"","")</f>
        <v/>
      </c>
      <c r="D211" s="30">
        <f>IF(M211="I",INDEX('マスタ'!$M$2:$M$246,L211),"")</f>
        <v/>
      </c>
      <c r="F211" s="47">
        <f>IF(M211="I",INDEX('マスタ'!$F$2:$F$246,L211)&amp;"","")</f>
        <v/>
      </c>
      <c r="G211" s="48" t="n"/>
      <c r="I211" s="48">
        <f>IF(M211="I",IF(OR(G211="",D211=""),"",ROUND(D211*G211,0)),IF(M211="S",SUMIFS(I$24:I210,N$24:N210,N211,M$24:M210,"I"),""))</f>
        <v/>
      </c>
      <c r="K211" s="29" t="n"/>
      <c r="L211">
        <f>IFERROR(MATCH(188,'マスタ'!$N$2:$N$246,0),"")</f>
        <v/>
      </c>
      <c r="M211">
        <f>IF(L211="","",INDEX('マスタ'!$A$2:$A$246,L211))</f>
        <v/>
      </c>
      <c r="N211">
        <f>IF(L211="","",INDEX('マスタ'!$B$2:$B$246,L211))</f>
        <v/>
      </c>
    </row>
    <row r="212">
      <c r="A212" s="29">
        <f>IF(M212="T",INDEX('設定'!$H$23:$H$34,N212),"")</f>
        <v/>
      </c>
      <c r="B212" s="29">
        <f>IF(OR(L212="",M212="B"),"",INDEX('マスタ'!$C$2:$C$246,L212))</f>
        <v/>
      </c>
      <c r="C212" s="29">
        <f>IF(M212="I",INDEX('マスタ'!$D$2:$D$246,L212)&amp;"","")</f>
        <v/>
      </c>
      <c r="D212" s="30">
        <f>IF(M212="I",INDEX('マスタ'!$M$2:$M$246,L212),"")</f>
        <v/>
      </c>
      <c r="F212" s="47">
        <f>IF(M212="I",INDEX('マスタ'!$F$2:$F$246,L212)&amp;"","")</f>
        <v/>
      </c>
      <c r="G212" s="48" t="n"/>
      <c r="I212" s="48">
        <f>IF(M212="I",IF(OR(G212="",D212=""),"",ROUND(D212*G212,0)),IF(M212="S",SUMIFS(I$24:I211,N$24:N211,N212,M$24:M211,"I"),""))</f>
        <v/>
      </c>
      <c r="K212" s="29" t="n"/>
      <c r="L212">
        <f>IFERROR(MATCH(189,'マスタ'!$N$2:$N$246,0),"")</f>
        <v/>
      </c>
      <c r="M212">
        <f>IF(L212="","",INDEX('マスタ'!$A$2:$A$246,L212))</f>
        <v/>
      </c>
      <c r="N212">
        <f>IF(L212="","",INDEX('マスタ'!$B$2:$B$246,L212))</f>
        <v/>
      </c>
    </row>
    <row r="213">
      <c r="A213" s="29">
        <f>IF(M213="T",INDEX('設定'!$H$23:$H$34,N213),"")</f>
        <v/>
      </c>
      <c r="B213" s="29">
        <f>IF(OR(L213="",M213="B"),"",INDEX('マスタ'!$C$2:$C$246,L213))</f>
        <v/>
      </c>
      <c r="C213" s="29">
        <f>IF(M213="I",INDEX('マスタ'!$D$2:$D$246,L213)&amp;"","")</f>
        <v/>
      </c>
      <c r="D213" s="30">
        <f>IF(M213="I",INDEX('マスタ'!$M$2:$M$246,L213),"")</f>
        <v/>
      </c>
      <c r="F213" s="47">
        <f>IF(M213="I",INDEX('マスタ'!$F$2:$F$246,L213)&amp;"","")</f>
        <v/>
      </c>
      <c r="G213" s="48" t="n"/>
      <c r="I213" s="48">
        <f>IF(M213="I",IF(OR(G213="",D213=""),"",ROUND(D213*G213,0)),IF(M213="S",SUMIFS(I$24:I212,N$24:N212,N213,M$24:M212,"I"),""))</f>
        <v/>
      </c>
      <c r="K213" s="29" t="n"/>
      <c r="L213">
        <f>IFERROR(MATCH(190,'マスタ'!$N$2:$N$246,0),"")</f>
        <v/>
      </c>
      <c r="M213">
        <f>IF(L213="","",INDEX('マスタ'!$A$2:$A$246,L213))</f>
        <v/>
      </c>
      <c r="N213">
        <f>IF(L213="","",INDEX('マスタ'!$B$2:$B$246,L213))</f>
        <v/>
      </c>
    </row>
    <row r="214">
      <c r="A214" s="29">
        <f>IF(M214="T",INDEX('設定'!$H$23:$H$34,N214),"")</f>
        <v/>
      </c>
      <c r="B214" s="29">
        <f>IF(OR(L214="",M214="B"),"",INDEX('マスタ'!$C$2:$C$246,L214))</f>
        <v/>
      </c>
      <c r="C214" s="29">
        <f>IF(M214="I",INDEX('マスタ'!$D$2:$D$246,L214)&amp;"","")</f>
        <v/>
      </c>
      <c r="D214" s="30">
        <f>IF(M214="I",INDEX('マスタ'!$M$2:$M$246,L214),"")</f>
        <v/>
      </c>
      <c r="F214" s="47">
        <f>IF(M214="I",INDEX('マスタ'!$F$2:$F$246,L214)&amp;"","")</f>
        <v/>
      </c>
      <c r="G214" s="48" t="n"/>
      <c r="I214" s="48">
        <f>IF(M214="I",IF(OR(G214="",D214=""),"",ROUND(D214*G214,0)),IF(M214="S",SUMIFS(I$24:I213,N$24:N213,N214,M$24:M213,"I"),""))</f>
        <v/>
      </c>
      <c r="K214" s="29" t="n"/>
      <c r="L214">
        <f>IFERROR(MATCH(191,'マスタ'!$N$2:$N$246,0),"")</f>
        <v/>
      </c>
      <c r="M214">
        <f>IF(L214="","",INDEX('マスタ'!$A$2:$A$246,L214))</f>
        <v/>
      </c>
      <c r="N214">
        <f>IF(L214="","",INDEX('マスタ'!$B$2:$B$246,L214))</f>
        <v/>
      </c>
    </row>
    <row r="215">
      <c r="A215" s="29">
        <f>IF(M215="T",INDEX('設定'!$H$23:$H$34,N215),"")</f>
        <v/>
      </c>
      <c r="B215" s="29">
        <f>IF(OR(L215="",M215="B"),"",INDEX('マスタ'!$C$2:$C$246,L215))</f>
        <v/>
      </c>
      <c r="C215" s="29">
        <f>IF(M215="I",INDEX('マスタ'!$D$2:$D$246,L215)&amp;"","")</f>
        <v/>
      </c>
      <c r="D215" s="30">
        <f>IF(M215="I",INDEX('マスタ'!$M$2:$M$246,L215),"")</f>
        <v/>
      </c>
      <c r="F215" s="47">
        <f>IF(M215="I",INDEX('マスタ'!$F$2:$F$246,L215)&amp;"","")</f>
        <v/>
      </c>
      <c r="G215" s="48" t="n"/>
      <c r="I215" s="48">
        <f>IF(M215="I",IF(OR(G215="",D215=""),"",ROUND(D215*G215,0)),IF(M215="S",SUMIFS(I$24:I214,N$24:N214,N215,M$24:M214,"I"),""))</f>
        <v/>
      </c>
      <c r="K215" s="29" t="n"/>
      <c r="L215">
        <f>IFERROR(MATCH(192,'マスタ'!$N$2:$N$246,0),"")</f>
        <v/>
      </c>
      <c r="M215">
        <f>IF(L215="","",INDEX('マスタ'!$A$2:$A$246,L215))</f>
        <v/>
      </c>
      <c r="N215">
        <f>IF(L215="","",INDEX('マスタ'!$B$2:$B$246,L215))</f>
        <v/>
      </c>
    </row>
    <row r="216">
      <c r="A216" s="29">
        <f>IF(M216="T",INDEX('設定'!$H$23:$H$34,N216),"")</f>
        <v/>
      </c>
      <c r="B216" s="29">
        <f>IF(OR(L216="",M216="B"),"",INDEX('マスタ'!$C$2:$C$246,L216))</f>
        <v/>
      </c>
      <c r="C216" s="29">
        <f>IF(M216="I",INDEX('マスタ'!$D$2:$D$246,L216)&amp;"","")</f>
        <v/>
      </c>
      <c r="D216" s="30">
        <f>IF(M216="I",INDEX('マスタ'!$M$2:$M$246,L216),"")</f>
        <v/>
      </c>
      <c r="F216" s="47">
        <f>IF(M216="I",INDEX('マスタ'!$F$2:$F$246,L216)&amp;"","")</f>
        <v/>
      </c>
      <c r="G216" s="48" t="n"/>
      <c r="I216" s="48">
        <f>IF(M216="I",IF(OR(G216="",D216=""),"",ROUND(D216*G216,0)),IF(M216="S",SUMIFS(I$24:I215,N$24:N215,N216,M$24:M215,"I"),""))</f>
        <v/>
      </c>
      <c r="K216" s="29" t="n"/>
      <c r="L216">
        <f>IFERROR(MATCH(193,'マスタ'!$N$2:$N$246,0),"")</f>
        <v/>
      </c>
      <c r="M216">
        <f>IF(L216="","",INDEX('マスタ'!$A$2:$A$246,L216))</f>
        <v/>
      </c>
      <c r="N216">
        <f>IF(L216="","",INDEX('マスタ'!$B$2:$B$246,L216))</f>
        <v/>
      </c>
    </row>
    <row r="217">
      <c r="A217" s="29">
        <f>IF(M217="T",INDEX('設定'!$H$23:$H$34,N217),"")</f>
        <v/>
      </c>
      <c r="B217" s="29">
        <f>IF(OR(L217="",M217="B"),"",INDEX('マスタ'!$C$2:$C$246,L217))</f>
        <v/>
      </c>
      <c r="C217" s="29">
        <f>IF(M217="I",INDEX('マスタ'!$D$2:$D$246,L217)&amp;"","")</f>
        <v/>
      </c>
      <c r="D217" s="30">
        <f>IF(M217="I",INDEX('マスタ'!$M$2:$M$246,L217),"")</f>
        <v/>
      </c>
      <c r="F217" s="47">
        <f>IF(M217="I",INDEX('マスタ'!$F$2:$F$246,L217)&amp;"","")</f>
        <v/>
      </c>
      <c r="G217" s="48" t="n"/>
      <c r="I217" s="48">
        <f>IF(M217="I",IF(OR(G217="",D217=""),"",ROUND(D217*G217,0)),IF(M217="S",SUMIFS(I$24:I216,N$24:N216,N217,M$24:M216,"I"),""))</f>
        <v/>
      </c>
      <c r="K217" s="29" t="n"/>
      <c r="L217">
        <f>IFERROR(MATCH(194,'マスタ'!$N$2:$N$246,0),"")</f>
        <v/>
      </c>
      <c r="M217">
        <f>IF(L217="","",INDEX('マスタ'!$A$2:$A$246,L217))</f>
        <v/>
      </c>
      <c r="N217">
        <f>IF(L217="","",INDEX('マスタ'!$B$2:$B$246,L217))</f>
        <v/>
      </c>
    </row>
    <row r="218">
      <c r="A218" s="29">
        <f>IF(M218="T",INDEX('設定'!$H$23:$H$34,N218),"")</f>
        <v/>
      </c>
      <c r="B218" s="29">
        <f>IF(OR(L218="",M218="B"),"",INDEX('マスタ'!$C$2:$C$246,L218))</f>
        <v/>
      </c>
      <c r="C218" s="29">
        <f>IF(M218="I",INDEX('マスタ'!$D$2:$D$246,L218)&amp;"","")</f>
        <v/>
      </c>
      <c r="D218" s="30">
        <f>IF(M218="I",INDEX('マスタ'!$M$2:$M$246,L218),"")</f>
        <v/>
      </c>
      <c r="F218" s="47">
        <f>IF(M218="I",INDEX('マスタ'!$F$2:$F$246,L218)&amp;"","")</f>
        <v/>
      </c>
      <c r="G218" s="48" t="n"/>
      <c r="I218" s="48">
        <f>IF(M218="I",IF(OR(G218="",D218=""),"",ROUND(D218*G218,0)),IF(M218="S",SUMIFS(I$24:I217,N$24:N217,N218,M$24:M217,"I"),""))</f>
        <v/>
      </c>
      <c r="K218" s="29" t="n"/>
      <c r="L218">
        <f>IFERROR(MATCH(195,'マスタ'!$N$2:$N$246,0),"")</f>
        <v/>
      </c>
      <c r="M218">
        <f>IF(L218="","",INDEX('マスタ'!$A$2:$A$246,L218))</f>
        <v/>
      </c>
      <c r="N218">
        <f>IF(L218="","",INDEX('マスタ'!$B$2:$B$246,L218))</f>
        <v/>
      </c>
    </row>
    <row r="219">
      <c r="A219" s="29">
        <f>IF(M219="T",INDEX('設定'!$H$23:$H$34,N219),"")</f>
        <v/>
      </c>
      <c r="B219" s="29">
        <f>IF(OR(L219="",M219="B"),"",INDEX('マスタ'!$C$2:$C$246,L219))</f>
        <v/>
      </c>
      <c r="C219" s="29">
        <f>IF(M219="I",INDEX('マスタ'!$D$2:$D$246,L219)&amp;"","")</f>
        <v/>
      </c>
      <c r="D219" s="30">
        <f>IF(M219="I",INDEX('マスタ'!$M$2:$M$246,L219),"")</f>
        <v/>
      </c>
      <c r="F219" s="47">
        <f>IF(M219="I",INDEX('マスタ'!$F$2:$F$246,L219)&amp;"","")</f>
        <v/>
      </c>
      <c r="G219" s="48" t="n"/>
      <c r="I219" s="48">
        <f>IF(M219="I",IF(OR(G219="",D219=""),"",ROUND(D219*G219,0)),IF(M219="S",SUMIFS(I$24:I218,N$24:N218,N219,M$24:M218,"I"),""))</f>
        <v/>
      </c>
      <c r="K219" s="29" t="n"/>
      <c r="L219">
        <f>IFERROR(MATCH(196,'マスタ'!$N$2:$N$246,0),"")</f>
        <v/>
      </c>
      <c r="M219">
        <f>IF(L219="","",INDEX('マスタ'!$A$2:$A$246,L219))</f>
        <v/>
      </c>
      <c r="N219">
        <f>IF(L219="","",INDEX('マスタ'!$B$2:$B$246,L219))</f>
        <v/>
      </c>
    </row>
    <row r="220">
      <c r="A220" s="29">
        <f>IF(M220="T",INDEX('設定'!$H$23:$H$34,N220),"")</f>
        <v/>
      </c>
      <c r="B220" s="29">
        <f>IF(OR(L220="",M220="B"),"",INDEX('マスタ'!$C$2:$C$246,L220))</f>
        <v/>
      </c>
      <c r="C220" s="29">
        <f>IF(M220="I",INDEX('マスタ'!$D$2:$D$246,L220)&amp;"","")</f>
        <v/>
      </c>
      <c r="D220" s="30">
        <f>IF(M220="I",INDEX('マスタ'!$M$2:$M$246,L220),"")</f>
        <v/>
      </c>
      <c r="F220" s="47">
        <f>IF(M220="I",INDEX('マスタ'!$F$2:$F$246,L220)&amp;"","")</f>
        <v/>
      </c>
      <c r="G220" s="48" t="n"/>
      <c r="I220" s="48">
        <f>IF(M220="I",IF(OR(G220="",D220=""),"",ROUND(D220*G220,0)),IF(M220="S",SUMIFS(I$24:I219,N$24:N219,N220,M$24:M219,"I"),""))</f>
        <v/>
      </c>
      <c r="K220" s="29" t="n"/>
      <c r="L220">
        <f>IFERROR(MATCH(197,'マスタ'!$N$2:$N$246,0),"")</f>
        <v/>
      </c>
      <c r="M220">
        <f>IF(L220="","",INDEX('マスタ'!$A$2:$A$246,L220))</f>
        <v/>
      </c>
      <c r="N220">
        <f>IF(L220="","",INDEX('マスタ'!$B$2:$B$246,L220))</f>
        <v/>
      </c>
    </row>
    <row r="221">
      <c r="A221" s="29">
        <f>IF(M221="T",INDEX('設定'!$H$23:$H$34,N221),"")</f>
        <v/>
      </c>
      <c r="B221" s="29">
        <f>IF(OR(L221="",M221="B"),"",INDEX('マスタ'!$C$2:$C$246,L221))</f>
        <v/>
      </c>
      <c r="C221" s="29">
        <f>IF(M221="I",INDEX('マスタ'!$D$2:$D$246,L221)&amp;"","")</f>
        <v/>
      </c>
      <c r="D221" s="30">
        <f>IF(M221="I",INDEX('マスタ'!$M$2:$M$246,L221),"")</f>
        <v/>
      </c>
      <c r="F221" s="47">
        <f>IF(M221="I",INDEX('マスタ'!$F$2:$F$246,L221)&amp;"","")</f>
        <v/>
      </c>
      <c r="G221" s="48" t="n"/>
      <c r="I221" s="48">
        <f>IF(M221="I",IF(OR(G221="",D221=""),"",ROUND(D221*G221,0)),IF(M221="S",SUMIFS(I$24:I220,N$24:N220,N221,M$24:M220,"I"),""))</f>
        <v/>
      </c>
      <c r="K221" s="29" t="n"/>
      <c r="L221">
        <f>IFERROR(MATCH(198,'マスタ'!$N$2:$N$246,0),"")</f>
        <v/>
      </c>
      <c r="M221">
        <f>IF(L221="","",INDEX('マスタ'!$A$2:$A$246,L221))</f>
        <v/>
      </c>
      <c r="N221">
        <f>IF(L221="","",INDEX('マスタ'!$B$2:$B$246,L221))</f>
        <v/>
      </c>
    </row>
    <row r="222">
      <c r="A222" s="29">
        <f>IF(M222="T",INDEX('設定'!$H$23:$H$34,N222),"")</f>
        <v/>
      </c>
      <c r="B222" s="29">
        <f>IF(OR(L222="",M222="B"),"",INDEX('マスタ'!$C$2:$C$246,L222))</f>
        <v/>
      </c>
      <c r="C222" s="29">
        <f>IF(M222="I",INDEX('マスタ'!$D$2:$D$246,L222)&amp;"","")</f>
        <v/>
      </c>
      <c r="D222" s="30">
        <f>IF(M222="I",INDEX('マスタ'!$M$2:$M$246,L222),"")</f>
        <v/>
      </c>
      <c r="F222" s="47">
        <f>IF(M222="I",INDEX('マスタ'!$F$2:$F$246,L222)&amp;"","")</f>
        <v/>
      </c>
      <c r="G222" s="48" t="n"/>
      <c r="I222" s="48">
        <f>IF(M222="I",IF(OR(G222="",D222=""),"",ROUND(D222*G222,0)),IF(M222="S",SUMIFS(I$24:I221,N$24:N221,N222,M$24:M221,"I"),""))</f>
        <v/>
      </c>
      <c r="K222" s="29" t="n"/>
      <c r="L222">
        <f>IFERROR(MATCH(199,'マスタ'!$N$2:$N$246,0),"")</f>
        <v/>
      </c>
      <c r="M222">
        <f>IF(L222="","",INDEX('マスタ'!$A$2:$A$246,L222))</f>
        <v/>
      </c>
      <c r="N222">
        <f>IF(L222="","",INDEX('マスタ'!$B$2:$B$246,L222))</f>
        <v/>
      </c>
    </row>
    <row r="223">
      <c r="A223" s="29">
        <f>IF(M223="T",INDEX('設定'!$H$23:$H$34,N223),"")</f>
        <v/>
      </c>
      <c r="B223" s="29">
        <f>IF(OR(L223="",M223="B"),"",INDEX('マスタ'!$C$2:$C$246,L223))</f>
        <v/>
      </c>
      <c r="C223" s="29">
        <f>IF(M223="I",INDEX('マスタ'!$D$2:$D$246,L223)&amp;"","")</f>
        <v/>
      </c>
      <c r="D223" s="30">
        <f>IF(M223="I",INDEX('マスタ'!$M$2:$M$246,L223),"")</f>
        <v/>
      </c>
      <c r="F223" s="47">
        <f>IF(M223="I",INDEX('マスタ'!$F$2:$F$246,L223)&amp;"","")</f>
        <v/>
      </c>
      <c r="G223" s="48" t="n"/>
      <c r="I223" s="48">
        <f>IF(M223="I",IF(OR(G223="",D223=""),"",ROUND(D223*G223,0)),IF(M223="S",SUMIFS(I$24:I222,N$24:N222,N223,M$24:M222,"I"),""))</f>
        <v/>
      </c>
      <c r="K223" s="29" t="n"/>
      <c r="L223">
        <f>IFERROR(MATCH(200,'マスタ'!$N$2:$N$246,0),"")</f>
        <v/>
      </c>
      <c r="M223">
        <f>IF(L223="","",INDEX('マスタ'!$A$2:$A$246,L223))</f>
        <v/>
      </c>
      <c r="N223">
        <f>IF(L223="","",INDEX('マスタ'!$B$2:$B$246,L223))</f>
        <v/>
      </c>
    </row>
    <row r="224">
      <c r="A224" s="29">
        <f>IF(M224="T",INDEX('設定'!$H$23:$H$34,N224),"")</f>
        <v/>
      </c>
      <c r="B224" s="29">
        <f>IF(OR(L224="",M224="B"),"",INDEX('マスタ'!$C$2:$C$246,L224))</f>
        <v/>
      </c>
      <c r="C224" s="29">
        <f>IF(M224="I",INDEX('マスタ'!$D$2:$D$246,L224)&amp;"","")</f>
        <v/>
      </c>
      <c r="D224" s="30">
        <f>IF(M224="I",INDEX('マスタ'!$M$2:$M$246,L224),"")</f>
        <v/>
      </c>
      <c r="F224" s="47">
        <f>IF(M224="I",INDEX('マスタ'!$F$2:$F$246,L224)&amp;"","")</f>
        <v/>
      </c>
      <c r="G224" s="48" t="n"/>
      <c r="I224" s="48">
        <f>IF(M224="I",IF(OR(G224="",D224=""),"",ROUND(D224*G224,0)),IF(M224="S",SUMIFS(I$24:I223,N$24:N223,N224,M$24:M223,"I"),""))</f>
        <v/>
      </c>
      <c r="K224" s="29" t="n"/>
      <c r="L224">
        <f>IFERROR(MATCH(201,'マスタ'!$N$2:$N$246,0),"")</f>
        <v/>
      </c>
      <c r="M224">
        <f>IF(L224="","",INDEX('マスタ'!$A$2:$A$246,L224))</f>
        <v/>
      </c>
      <c r="N224">
        <f>IF(L224="","",INDEX('マスタ'!$B$2:$B$246,L224))</f>
        <v/>
      </c>
    </row>
    <row r="225">
      <c r="A225" s="29">
        <f>IF(M225="T",INDEX('設定'!$H$23:$H$34,N225),"")</f>
        <v/>
      </c>
      <c r="B225" s="29">
        <f>IF(OR(L225="",M225="B"),"",INDEX('マスタ'!$C$2:$C$246,L225))</f>
        <v/>
      </c>
      <c r="C225" s="29">
        <f>IF(M225="I",INDEX('マスタ'!$D$2:$D$246,L225)&amp;"","")</f>
        <v/>
      </c>
      <c r="D225" s="30">
        <f>IF(M225="I",INDEX('マスタ'!$M$2:$M$246,L225),"")</f>
        <v/>
      </c>
      <c r="F225" s="47">
        <f>IF(M225="I",INDEX('マスタ'!$F$2:$F$246,L225)&amp;"","")</f>
        <v/>
      </c>
      <c r="G225" s="48" t="n"/>
      <c r="I225" s="48">
        <f>IF(M225="I",IF(OR(G225="",D225=""),"",ROUND(D225*G225,0)),IF(M225="S",SUMIFS(I$24:I224,N$24:N224,N225,M$24:M224,"I"),""))</f>
        <v/>
      </c>
      <c r="K225" s="29" t="n"/>
      <c r="L225">
        <f>IFERROR(MATCH(202,'マスタ'!$N$2:$N$246,0),"")</f>
        <v/>
      </c>
      <c r="M225">
        <f>IF(L225="","",INDEX('マスタ'!$A$2:$A$246,L225))</f>
        <v/>
      </c>
      <c r="N225">
        <f>IF(L225="","",INDEX('マスタ'!$B$2:$B$246,L225))</f>
        <v/>
      </c>
    </row>
    <row r="226">
      <c r="A226" s="29">
        <f>IF(M226="T",INDEX('設定'!$H$23:$H$34,N226),"")</f>
        <v/>
      </c>
      <c r="B226" s="29">
        <f>IF(OR(L226="",M226="B"),"",INDEX('マスタ'!$C$2:$C$246,L226))</f>
        <v/>
      </c>
      <c r="C226" s="29">
        <f>IF(M226="I",INDEX('マスタ'!$D$2:$D$246,L226)&amp;"","")</f>
        <v/>
      </c>
      <c r="D226" s="30">
        <f>IF(M226="I",INDEX('マスタ'!$M$2:$M$246,L226),"")</f>
        <v/>
      </c>
      <c r="F226" s="47">
        <f>IF(M226="I",INDEX('マスタ'!$F$2:$F$246,L226)&amp;"","")</f>
        <v/>
      </c>
      <c r="G226" s="48" t="n"/>
      <c r="I226" s="48">
        <f>IF(M226="I",IF(OR(G226="",D226=""),"",ROUND(D226*G226,0)),IF(M226="S",SUMIFS(I$24:I225,N$24:N225,N226,M$24:M225,"I"),""))</f>
        <v/>
      </c>
      <c r="K226" s="29" t="n"/>
      <c r="L226">
        <f>IFERROR(MATCH(203,'マスタ'!$N$2:$N$246,0),"")</f>
        <v/>
      </c>
      <c r="M226">
        <f>IF(L226="","",INDEX('マスタ'!$A$2:$A$246,L226))</f>
        <v/>
      </c>
      <c r="N226">
        <f>IF(L226="","",INDEX('マスタ'!$B$2:$B$246,L226))</f>
        <v/>
      </c>
    </row>
    <row r="227">
      <c r="A227" s="29">
        <f>IF(M227="T",INDEX('設定'!$H$23:$H$34,N227),"")</f>
        <v/>
      </c>
      <c r="B227" s="29">
        <f>IF(OR(L227="",M227="B"),"",INDEX('マスタ'!$C$2:$C$246,L227))</f>
        <v/>
      </c>
      <c r="C227" s="29">
        <f>IF(M227="I",INDEX('マスタ'!$D$2:$D$246,L227)&amp;"","")</f>
        <v/>
      </c>
      <c r="D227" s="30">
        <f>IF(M227="I",INDEX('マスタ'!$M$2:$M$246,L227),"")</f>
        <v/>
      </c>
      <c r="F227" s="47">
        <f>IF(M227="I",INDEX('マスタ'!$F$2:$F$246,L227)&amp;"","")</f>
        <v/>
      </c>
      <c r="G227" s="48" t="n"/>
      <c r="I227" s="48">
        <f>IF(M227="I",IF(OR(G227="",D227=""),"",ROUND(D227*G227,0)),IF(M227="S",SUMIFS(I$24:I226,N$24:N226,N227,M$24:M226,"I"),""))</f>
        <v/>
      </c>
      <c r="K227" s="29" t="n"/>
      <c r="L227">
        <f>IFERROR(MATCH(204,'マスタ'!$N$2:$N$246,0),"")</f>
        <v/>
      </c>
      <c r="M227">
        <f>IF(L227="","",INDEX('マスタ'!$A$2:$A$246,L227))</f>
        <v/>
      </c>
      <c r="N227">
        <f>IF(L227="","",INDEX('マスタ'!$B$2:$B$246,L227))</f>
        <v/>
      </c>
    </row>
    <row r="228">
      <c r="A228" s="29">
        <f>IF(M228="T",INDEX('設定'!$H$23:$H$34,N228),"")</f>
        <v/>
      </c>
      <c r="B228" s="29">
        <f>IF(OR(L228="",M228="B"),"",INDEX('マスタ'!$C$2:$C$246,L228))</f>
        <v/>
      </c>
      <c r="C228" s="29">
        <f>IF(M228="I",INDEX('マスタ'!$D$2:$D$246,L228)&amp;"","")</f>
        <v/>
      </c>
      <c r="D228" s="30">
        <f>IF(M228="I",INDEX('マスタ'!$M$2:$M$246,L228),"")</f>
        <v/>
      </c>
      <c r="F228" s="47">
        <f>IF(M228="I",INDEX('マスタ'!$F$2:$F$246,L228)&amp;"","")</f>
        <v/>
      </c>
      <c r="G228" s="48" t="n"/>
      <c r="I228" s="48">
        <f>IF(M228="I",IF(OR(G228="",D228=""),"",ROUND(D228*G228,0)),IF(M228="S",SUMIFS(I$24:I227,N$24:N227,N228,M$24:M227,"I"),""))</f>
        <v/>
      </c>
      <c r="K228" s="29" t="n"/>
      <c r="L228">
        <f>IFERROR(MATCH(205,'マスタ'!$N$2:$N$246,0),"")</f>
        <v/>
      </c>
      <c r="M228">
        <f>IF(L228="","",INDEX('マスタ'!$A$2:$A$246,L228))</f>
        <v/>
      </c>
      <c r="N228">
        <f>IF(L228="","",INDEX('マスタ'!$B$2:$B$246,L228))</f>
        <v/>
      </c>
    </row>
    <row r="229">
      <c r="A229" s="29">
        <f>IF(M229="T",INDEX('設定'!$H$23:$H$34,N229),"")</f>
        <v/>
      </c>
      <c r="B229" s="29">
        <f>IF(OR(L229="",M229="B"),"",INDEX('マスタ'!$C$2:$C$246,L229))</f>
        <v/>
      </c>
      <c r="C229" s="29">
        <f>IF(M229="I",INDEX('マスタ'!$D$2:$D$246,L229)&amp;"","")</f>
        <v/>
      </c>
      <c r="D229" s="30">
        <f>IF(M229="I",INDEX('マスタ'!$M$2:$M$246,L229),"")</f>
        <v/>
      </c>
      <c r="F229" s="47">
        <f>IF(M229="I",INDEX('マスタ'!$F$2:$F$246,L229)&amp;"","")</f>
        <v/>
      </c>
      <c r="G229" s="48" t="n"/>
      <c r="I229" s="48">
        <f>IF(M229="I",IF(OR(G229="",D229=""),"",ROUND(D229*G229,0)),IF(M229="S",SUMIFS(I$24:I228,N$24:N228,N229,M$24:M228,"I"),""))</f>
        <v/>
      </c>
      <c r="K229" s="29" t="n"/>
      <c r="L229">
        <f>IFERROR(MATCH(206,'マスタ'!$N$2:$N$246,0),"")</f>
        <v/>
      </c>
      <c r="M229">
        <f>IF(L229="","",INDEX('マスタ'!$A$2:$A$246,L229))</f>
        <v/>
      </c>
      <c r="N229">
        <f>IF(L229="","",INDEX('マスタ'!$B$2:$B$246,L229))</f>
        <v/>
      </c>
    </row>
    <row r="230">
      <c r="A230" s="29">
        <f>IF(M230="T",INDEX('設定'!$H$23:$H$34,N230),"")</f>
        <v/>
      </c>
      <c r="B230" s="29">
        <f>IF(OR(L230="",M230="B"),"",INDEX('マスタ'!$C$2:$C$246,L230))</f>
        <v/>
      </c>
      <c r="C230" s="29">
        <f>IF(M230="I",INDEX('マスタ'!$D$2:$D$246,L230)&amp;"","")</f>
        <v/>
      </c>
      <c r="D230" s="30">
        <f>IF(M230="I",INDEX('マスタ'!$M$2:$M$246,L230),"")</f>
        <v/>
      </c>
      <c r="F230" s="47">
        <f>IF(M230="I",INDEX('マスタ'!$F$2:$F$246,L230)&amp;"","")</f>
        <v/>
      </c>
      <c r="G230" s="48" t="n"/>
      <c r="I230" s="48">
        <f>IF(M230="I",IF(OR(G230="",D230=""),"",ROUND(D230*G230,0)),IF(M230="S",SUMIFS(I$24:I229,N$24:N229,N230,M$24:M229,"I"),""))</f>
        <v/>
      </c>
      <c r="K230" s="29" t="n"/>
      <c r="L230">
        <f>IFERROR(MATCH(207,'マスタ'!$N$2:$N$246,0),"")</f>
        <v/>
      </c>
      <c r="M230">
        <f>IF(L230="","",INDEX('マスタ'!$A$2:$A$246,L230))</f>
        <v/>
      </c>
      <c r="N230">
        <f>IF(L230="","",INDEX('マスタ'!$B$2:$B$246,L230))</f>
        <v/>
      </c>
    </row>
    <row r="231">
      <c r="A231" s="29">
        <f>IF(M231="T",INDEX('設定'!$H$23:$H$34,N231),"")</f>
        <v/>
      </c>
      <c r="B231" s="29">
        <f>IF(OR(L231="",M231="B"),"",INDEX('マスタ'!$C$2:$C$246,L231))</f>
        <v/>
      </c>
      <c r="C231" s="29">
        <f>IF(M231="I",INDEX('マスタ'!$D$2:$D$246,L231)&amp;"","")</f>
        <v/>
      </c>
      <c r="D231" s="30">
        <f>IF(M231="I",INDEX('マスタ'!$M$2:$M$246,L231),"")</f>
        <v/>
      </c>
      <c r="F231" s="47">
        <f>IF(M231="I",INDEX('マスタ'!$F$2:$F$246,L231)&amp;"","")</f>
        <v/>
      </c>
      <c r="G231" s="48" t="n"/>
      <c r="I231" s="48">
        <f>IF(M231="I",IF(OR(G231="",D231=""),"",ROUND(D231*G231,0)),IF(M231="S",SUMIFS(I$24:I230,N$24:N230,N231,M$24:M230,"I"),""))</f>
        <v/>
      </c>
      <c r="K231" s="29" t="n"/>
      <c r="L231">
        <f>IFERROR(MATCH(208,'マスタ'!$N$2:$N$246,0),"")</f>
        <v/>
      </c>
      <c r="M231">
        <f>IF(L231="","",INDEX('マスタ'!$A$2:$A$246,L231))</f>
        <v/>
      </c>
      <c r="N231">
        <f>IF(L231="","",INDEX('マスタ'!$B$2:$B$246,L231))</f>
        <v/>
      </c>
    </row>
    <row r="232">
      <c r="A232" s="29">
        <f>IF(M232="T",INDEX('設定'!$H$23:$H$34,N232),"")</f>
        <v/>
      </c>
      <c r="B232" s="29">
        <f>IF(OR(L232="",M232="B"),"",INDEX('マスタ'!$C$2:$C$246,L232))</f>
        <v/>
      </c>
      <c r="C232" s="29">
        <f>IF(M232="I",INDEX('マスタ'!$D$2:$D$246,L232)&amp;"","")</f>
        <v/>
      </c>
      <c r="D232" s="30">
        <f>IF(M232="I",INDEX('マスタ'!$M$2:$M$246,L232),"")</f>
        <v/>
      </c>
      <c r="F232" s="47">
        <f>IF(M232="I",INDEX('マスタ'!$F$2:$F$246,L232)&amp;"","")</f>
        <v/>
      </c>
      <c r="G232" s="48" t="n"/>
      <c r="I232" s="48">
        <f>IF(M232="I",IF(OR(G232="",D232=""),"",ROUND(D232*G232,0)),IF(M232="S",SUMIFS(I$24:I231,N$24:N231,N232,M$24:M231,"I"),""))</f>
        <v/>
      </c>
      <c r="K232" s="29" t="n"/>
      <c r="L232">
        <f>IFERROR(MATCH(209,'マスタ'!$N$2:$N$246,0),"")</f>
        <v/>
      </c>
      <c r="M232">
        <f>IF(L232="","",INDEX('マスタ'!$A$2:$A$246,L232))</f>
        <v/>
      </c>
      <c r="N232">
        <f>IF(L232="","",INDEX('マスタ'!$B$2:$B$246,L232))</f>
        <v/>
      </c>
    </row>
    <row r="233">
      <c r="A233" s="29">
        <f>IF(M233="T",INDEX('設定'!$H$23:$H$34,N233),"")</f>
        <v/>
      </c>
      <c r="B233" s="29">
        <f>IF(OR(L233="",M233="B"),"",INDEX('マスタ'!$C$2:$C$246,L233))</f>
        <v/>
      </c>
      <c r="C233" s="29">
        <f>IF(M233="I",INDEX('マスタ'!$D$2:$D$246,L233)&amp;"","")</f>
        <v/>
      </c>
      <c r="D233" s="30">
        <f>IF(M233="I",INDEX('マスタ'!$M$2:$M$246,L233),"")</f>
        <v/>
      </c>
      <c r="F233" s="47">
        <f>IF(M233="I",INDEX('マスタ'!$F$2:$F$246,L233)&amp;"","")</f>
        <v/>
      </c>
      <c r="G233" s="48" t="n"/>
      <c r="I233" s="48">
        <f>IF(M233="I",IF(OR(G233="",D233=""),"",ROUND(D233*G233,0)),IF(M233="S",SUMIFS(I$24:I232,N$24:N232,N233,M$24:M232,"I"),""))</f>
        <v/>
      </c>
      <c r="K233" s="29" t="n"/>
      <c r="L233">
        <f>IFERROR(MATCH(210,'マスタ'!$N$2:$N$246,0),"")</f>
        <v/>
      </c>
      <c r="M233">
        <f>IF(L233="","",INDEX('マスタ'!$A$2:$A$246,L233))</f>
        <v/>
      </c>
      <c r="N233">
        <f>IF(L233="","",INDEX('マスタ'!$B$2:$B$246,L233))</f>
        <v/>
      </c>
    </row>
    <row r="234">
      <c r="A234" s="29">
        <f>IF(M234="T",INDEX('設定'!$H$23:$H$34,N234),"")</f>
        <v/>
      </c>
      <c r="B234" s="29">
        <f>IF(OR(L234="",M234="B"),"",INDEX('マスタ'!$C$2:$C$246,L234))</f>
        <v/>
      </c>
      <c r="C234" s="29">
        <f>IF(M234="I",INDEX('マスタ'!$D$2:$D$246,L234)&amp;"","")</f>
        <v/>
      </c>
      <c r="D234" s="30">
        <f>IF(M234="I",INDEX('マスタ'!$M$2:$M$246,L234),"")</f>
        <v/>
      </c>
      <c r="F234" s="47">
        <f>IF(M234="I",INDEX('マスタ'!$F$2:$F$246,L234)&amp;"","")</f>
        <v/>
      </c>
      <c r="G234" s="48" t="n"/>
      <c r="I234" s="48">
        <f>IF(M234="I",IF(OR(G234="",D234=""),"",ROUND(D234*G234,0)),IF(M234="S",SUMIFS(I$24:I233,N$24:N233,N234,M$24:M233,"I"),""))</f>
        <v/>
      </c>
      <c r="K234" s="29" t="n"/>
      <c r="L234">
        <f>IFERROR(MATCH(211,'マスタ'!$N$2:$N$246,0),"")</f>
        <v/>
      </c>
      <c r="M234">
        <f>IF(L234="","",INDEX('マスタ'!$A$2:$A$246,L234))</f>
        <v/>
      </c>
      <c r="N234">
        <f>IF(L234="","",INDEX('マスタ'!$B$2:$B$246,L234))</f>
        <v/>
      </c>
    </row>
    <row r="235">
      <c r="A235" s="29">
        <f>IF(M235="T",INDEX('設定'!$H$23:$H$34,N235),"")</f>
        <v/>
      </c>
      <c r="B235" s="29">
        <f>IF(OR(L235="",M235="B"),"",INDEX('マスタ'!$C$2:$C$246,L235))</f>
        <v/>
      </c>
      <c r="C235" s="29">
        <f>IF(M235="I",INDEX('マスタ'!$D$2:$D$246,L235)&amp;"","")</f>
        <v/>
      </c>
      <c r="D235" s="30">
        <f>IF(M235="I",INDEX('マスタ'!$M$2:$M$246,L235),"")</f>
        <v/>
      </c>
      <c r="F235" s="47">
        <f>IF(M235="I",INDEX('マスタ'!$F$2:$F$246,L235)&amp;"","")</f>
        <v/>
      </c>
      <c r="G235" s="48" t="n"/>
      <c r="I235" s="48">
        <f>IF(M235="I",IF(OR(G235="",D235=""),"",ROUND(D235*G235,0)),IF(M235="S",SUMIFS(I$24:I234,N$24:N234,N235,M$24:M234,"I"),""))</f>
        <v/>
      </c>
      <c r="K235" s="29" t="n"/>
      <c r="L235">
        <f>IFERROR(MATCH(212,'マスタ'!$N$2:$N$246,0),"")</f>
        <v/>
      </c>
      <c r="M235">
        <f>IF(L235="","",INDEX('マスタ'!$A$2:$A$246,L235))</f>
        <v/>
      </c>
      <c r="N235">
        <f>IF(L235="","",INDEX('マスタ'!$B$2:$B$246,L235))</f>
        <v/>
      </c>
    </row>
    <row r="236">
      <c r="A236" s="29">
        <f>IF(M236="T",INDEX('設定'!$H$23:$H$34,N236),"")</f>
        <v/>
      </c>
      <c r="B236" s="29">
        <f>IF(OR(L236="",M236="B"),"",INDEX('マスタ'!$C$2:$C$246,L236))</f>
        <v/>
      </c>
      <c r="C236" s="29">
        <f>IF(M236="I",INDEX('マスタ'!$D$2:$D$246,L236)&amp;"","")</f>
        <v/>
      </c>
      <c r="D236" s="30">
        <f>IF(M236="I",INDEX('マスタ'!$M$2:$M$246,L236),"")</f>
        <v/>
      </c>
      <c r="F236" s="47">
        <f>IF(M236="I",INDEX('マスタ'!$F$2:$F$246,L236)&amp;"","")</f>
        <v/>
      </c>
      <c r="G236" s="48" t="n"/>
      <c r="I236" s="48">
        <f>IF(M236="I",IF(OR(G236="",D236=""),"",ROUND(D236*G236,0)),IF(M236="S",SUMIFS(I$24:I235,N$24:N235,N236,M$24:M235,"I"),""))</f>
        <v/>
      </c>
      <c r="K236" s="29" t="n"/>
      <c r="L236">
        <f>IFERROR(MATCH(213,'マスタ'!$N$2:$N$246,0),"")</f>
        <v/>
      </c>
      <c r="M236">
        <f>IF(L236="","",INDEX('マスタ'!$A$2:$A$246,L236))</f>
        <v/>
      </c>
      <c r="N236">
        <f>IF(L236="","",INDEX('マスタ'!$B$2:$B$246,L236))</f>
        <v/>
      </c>
    </row>
    <row r="237">
      <c r="A237" s="29">
        <f>IF(M237="T",INDEX('設定'!$H$23:$H$34,N237),"")</f>
        <v/>
      </c>
      <c r="B237" s="29">
        <f>IF(OR(L237="",M237="B"),"",INDEX('マスタ'!$C$2:$C$246,L237))</f>
        <v/>
      </c>
      <c r="C237" s="29">
        <f>IF(M237="I",INDEX('マスタ'!$D$2:$D$246,L237)&amp;"","")</f>
        <v/>
      </c>
      <c r="D237" s="30">
        <f>IF(M237="I",INDEX('マスタ'!$M$2:$M$246,L237),"")</f>
        <v/>
      </c>
      <c r="F237" s="47">
        <f>IF(M237="I",INDEX('マスタ'!$F$2:$F$246,L237)&amp;"","")</f>
        <v/>
      </c>
      <c r="G237" s="48" t="n"/>
      <c r="I237" s="48">
        <f>IF(M237="I",IF(OR(G237="",D237=""),"",ROUND(D237*G237,0)),IF(M237="S",SUMIFS(I$24:I236,N$24:N236,N237,M$24:M236,"I"),""))</f>
        <v/>
      </c>
      <c r="K237" s="29" t="n"/>
      <c r="L237">
        <f>IFERROR(MATCH(214,'マスタ'!$N$2:$N$246,0),"")</f>
        <v/>
      </c>
      <c r="M237">
        <f>IF(L237="","",INDEX('マスタ'!$A$2:$A$246,L237))</f>
        <v/>
      </c>
      <c r="N237">
        <f>IF(L237="","",INDEX('マスタ'!$B$2:$B$246,L237))</f>
        <v/>
      </c>
    </row>
    <row r="238">
      <c r="A238" s="29">
        <f>IF(M238="T",INDEX('設定'!$H$23:$H$34,N238),"")</f>
        <v/>
      </c>
      <c r="B238" s="29">
        <f>IF(OR(L238="",M238="B"),"",INDEX('マスタ'!$C$2:$C$246,L238))</f>
        <v/>
      </c>
      <c r="C238" s="29">
        <f>IF(M238="I",INDEX('マスタ'!$D$2:$D$246,L238)&amp;"","")</f>
        <v/>
      </c>
      <c r="D238" s="30">
        <f>IF(M238="I",INDEX('マスタ'!$M$2:$M$246,L238),"")</f>
        <v/>
      </c>
      <c r="F238" s="47">
        <f>IF(M238="I",INDEX('マスタ'!$F$2:$F$246,L238)&amp;"","")</f>
        <v/>
      </c>
      <c r="G238" s="48" t="n"/>
      <c r="I238" s="48">
        <f>IF(M238="I",IF(OR(G238="",D238=""),"",ROUND(D238*G238,0)),IF(M238="S",SUMIFS(I$24:I237,N$24:N237,N238,M$24:M237,"I"),""))</f>
        <v/>
      </c>
      <c r="K238" s="29" t="n"/>
      <c r="L238">
        <f>IFERROR(MATCH(215,'マスタ'!$N$2:$N$246,0),"")</f>
        <v/>
      </c>
      <c r="M238">
        <f>IF(L238="","",INDEX('マスタ'!$A$2:$A$246,L238))</f>
        <v/>
      </c>
      <c r="N238">
        <f>IF(L238="","",INDEX('マスタ'!$B$2:$B$246,L238))</f>
        <v/>
      </c>
    </row>
    <row r="239">
      <c r="A239" s="29">
        <f>IF(M239="T",INDEX('設定'!$H$23:$H$34,N239),"")</f>
        <v/>
      </c>
      <c r="B239" s="29">
        <f>IF(OR(L239="",M239="B"),"",INDEX('マスタ'!$C$2:$C$246,L239))</f>
        <v/>
      </c>
      <c r="C239" s="29">
        <f>IF(M239="I",INDEX('マスタ'!$D$2:$D$246,L239)&amp;"","")</f>
        <v/>
      </c>
      <c r="D239" s="30">
        <f>IF(M239="I",INDEX('マスタ'!$M$2:$M$246,L239),"")</f>
        <v/>
      </c>
      <c r="F239" s="47">
        <f>IF(M239="I",INDEX('マスタ'!$F$2:$F$246,L239)&amp;"","")</f>
        <v/>
      </c>
      <c r="G239" s="48" t="n"/>
      <c r="I239" s="48">
        <f>IF(M239="I",IF(OR(G239="",D239=""),"",ROUND(D239*G239,0)),IF(M239="S",SUMIFS(I$24:I238,N$24:N238,N239,M$24:M238,"I"),""))</f>
        <v/>
      </c>
      <c r="K239" s="29" t="n"/>
      <c r="L239">
        <f>IFERROR(MATCH(216,'マスタ'!$N$2:$N$246,0),"")</f>
        <v/>
      </c>
      <c r="M239">
        <f>IF(L239="","",INDEX('マスタ'!$A$2:$A$246,L239))</f>
        <v/>
      </c>
      <c r="N239">
        <f>IF(L239="","",INDEX('マスタ'!$B$2:$B$246,L239))</f>
        <v/>
      </c>
    </row>
    <row r="240">
      <c r="A240" s="29">
        <f>IF(M240="T",INDEX('設定'!$H$23:$H$34,N240),"")</f>
        <v/>
      </c>
      <c r="B240" s="29">
        <f>IF(OR(L240="",M240="B"),"",INDEX('マスタ'!$C$2:$C$246,L240))</f>
        <v/>
      </c>
      <c r="C240" s="29">
        <f>IF(M240="I",INDEX('マスタ'!$D$2:$D$246,L240)&amp;"","")</f>
        <v/>
      </c>
      <c r="D240" s="30">
        <f>IF(M240="I",INDEX('マスタ'!$M$2:$M$246,L240),"")</f>
        <v/>
      </c>
      <c r="F240" s="47">
        <f>IF(M240="I",INDEX('マスタ'!$F$2:$F$246,L240)&amp;"","")</f>
        <v/>
      </c>
      <c r="G240" s="48" t="n"/>
      <c r="I240" s="48">
        <f>IF(M240="I",IF(OR(G240="",D240=""),"",ROUND(D240*G240,0)),IF(M240="S",SUMIFS(I$24:I239,N$24:N239,N240,M$24:M239,"I"),""))</f>
        <v/>
      </c>
      <c r="K240" s="29" t="n"/>
      <c r="L240">
        <f>IFERROR(MATCH(217,'マスタ'!$N$2:$N$246,0),"")</f>
        <v/>
      </c>
      <c r="M240">
        <f>IF(L240="","",INDEX('マスタ'!$A$2:$A$246,L240))</f>
        <v/>
      </c>
      <c r="N240">
        <f>IF(L240="","",INDEX('マスタ'!$B$2:$B$246,L240))</f>
        <v/>
      </c>
    </row>
    <row r="241">
      <c r="A241" s="29">
        <f>IF(M241="T",INDEX('設定'!$H$23:$H$34,N241),"")</f>
        <v/>
      </c>
      <c r="B241" s="29">
        <f>IF(OR(L241="",M241="B"),"",INDEX('マスタ'!$C$2:$C$246,L241))</f>
        <v/>
      </c>
      <c r="C241" s="29">
        <f>IF(M241="I",INDEX('マスタ'!$D$2:$D$246,L241)&amp;"","")</f>
        <v/>
      </c>
      <c r="D241" s="30">
        <f>IF(M241="I",INDEX('マスタ'!$M$2:$M$246,L241),"")</f>
        <v/>
      </c>
      <c r="F241" s="47">
        <f>IF(M241="I",INDEX('マスタ'!$F$2:$F$246,L241)&amp;"","")</f>
        <v/>
      </c>
      <c r="G241" s="48" t="n"/>
      <c r="I241" s="48">
        <f>IF(M241="I",IF(OR(G241="",D241=""),"",ROUND(D241*G241,0)),IF(M241="S",SUMIFS(I$24:I240,N$24:N240,N241,M$24:M240,"I"),""))</f>
        <v/>
      </c>
      <c r="K241" s="29" t="n"/>
      <c r="L241">
        <f>IFERROR(MATCH(218,'マスタ'!$N$2:$N$246,0),"")</f>
        <v/>
      </c>
      <c r="M241">
        <f>IF(L241="","",INDEX('マスタ'!$A$2:$A$246,L241))</f>
        <v/>
      </c>
      <c r="N241">
        <f>IF(L241="","",INDEX('マスタ'!$B$2:$B$246,L241))</f>
        <v/>
      </c>
    </row>
    <row r="242">
      <c r="A242" s="29">
        <f>IF(M242="T",INDEX('設定'!$H$23:$H$34,N242),"")</f>
        <v/>
      </c>
      <c r="B242" s="29">
        <f>IF(OR(L242="",M242="B"),"",INDEX('マスタ'!$C$2:$C$246,L242))</f>
        <v/>
      </c>
      <c r="C242" s="29">
        <f>IF(M242="I",INDEX('マスタ'!$D$2:$D$246,L242)&amp;"","")</f>
        <v/>
      </c>
      <c r="D242" s="30">
        <f>IF(M242="I",INDEX('マスタ'!$M$2:$M$246,L242),"")</f>
        <v/>
      </c>
      <c r="F242" s="47">
        <f>IF(M242="I",INDEX('マスタ'!$F$2:$F$246,L242)&amp;"","")</f>
        <v/>
      </c>
      <c r="G242" s="48" t="n"/>
      <c r="I242" s="48">
        <f>IF(M242="I",IF(OR(G242="",D242=""),"",ROUND(D242*G242,0)),IF(M242="S",SUMIFS(I$24:I241,N$24:N241,N242,M$24:M241,"I"),""))</f>
        <v/>
      </c>
      <c r="K242" s="29" t="n"/>
      <c r="L242">
        <f>IFERROR(MATCH(219,'マスタ'!$N$2:$N$246,0),"")</f>
        <v/>
      </c>
      <c r="M242">
        <f>IF(L242="","",INDEX('マスタ'!$A$2:$A$246,L242))</f>
        <v/>
      </c>
      <c r="N242">
        <f>IF(L242="","",INDEX('マスタ'!$B$2:$B$246,L242))</f>
        <v/>
      </c>
    </row>
    <row r="243">
      <c r="A243" s="29">
        <f>IF(M243="T",INDEX('設定'!$H$23:$H$34,N243),"")</f>
        <v/>
      </c>
      <c r="B243" s="29">
        <f>IF(OR(L243="",M243="B"),"",INDEX('マスタ'!$C$2:$C$246,L243))</f>
        <v/>
      </c>
      <c r="C243" s="29">
        <f>IF(M243="I",INDEX('マスタ'!$D$2:$D$246,L243)&amp;"","")</f>
        <v/>
      </c>
      <c r="D243" s="30">
        <f>IF(M243="I",INDEX('マスタ'!$M$2:$M$246,L243),"")</f>
        <v/>
      </c>
      <c r="F243" s="47">
        <f>IF(M243="I",INDEX('マスタ'!$F$2:$F$246,L243)&amp;"","")</f>
        <v/>
      </c>
      <c r="G243" s="48" t="n"/>
      <c r="I243" s="48">
        <f>IF(M243="I",IF(OR(G243="",D243=""),"",ROUND(D243*G243,0)),IF(M243="S",SUMIFS(I$24:I242,N$24:N242,N243,M$24:M242,"I"),""))</f>
        <v/>
      </c>
      <c r="K243" s="29" t="n"/>
      <c r="L243">
        <f>IFERROR(MATCH(220,'マスタ'!$N$2:$N$246,0),"")</f>
        <v/>
      </c>
      <c r="M243">
        <f>IF(L243="","",INDEX('マスタ'!$A$2:$A$246,L243))</f>
        <v/>
      </c>
      <c r="N243">
        <f>IF(L243="","",INDEX('マスタ'!$B$2:$B$246,L243))</f>
        <v/>
      </c>
    </row>
    <row r="244">
      <c r="A244" s="29">
        <f>IF(M244="T",INDEX('設定'!$H$23:$H$34,N244),"")</f>
        <v/>
      </c>
      <c r="B244" s="29">
        <f>IF(OR(L244="",M244="B"),"",INDEX('マスタ'!$C$2:$C$246,L244))</f>
        <v/>
      </c>
      <c r="C244" s="29">
        <f>IF(M244="I",INDEX('マスタ'!$D$2:$D$246,L244)&amp;"","")</f>
        <v/>
      </c>
      <c r="D244" s="30">
        <f>IF(M244="I",INDEX('マスタ'!$M$2:$M$246,L244),"")</f>
        <v/>
      </c>
      <c r="F244" s="47">
        <f>IF(M244="I",INDEX('マスタ'!$F$2:$F$246,L244)&amp;"","")</f>
        <v/>
      </c>
      <c r="G244" s="48" t="n"/>
      <c r="I244" s="48">
        <f>IF(M244="I",IF(OR(G244="",D244=""),"",ROUND(D244*G244,0)),IF(M244="S",SUMIFS(I$24:I243,N$24:N243,N244,M$24:M243,"I"),""))</f>
        <v/>
      </c>
      <c r="K244" s="29" t="n"/>
      <c r="L244">
        <f>IFERROR(MATCH(221,'マスタ'!$N$2:$N$246,0),"")</f>
        <v/>
      </c>
      <c r="M244">
        <f>IF(L244="","",INDEX('マスタ'!$A$2:$A$246,L244))</f>
        <v/>
      </c>
      <c r="N244">
        <f>IF(L244="","",INDEX('マスタ'!$B$2:$B$246,L244))</f>
        <v/>
      </c>
    </row>
    <row r="245">
      <c r="A245" s="29">
        <f>IF(M245="T",INDEX('設定'!$H$23:$H$34,N245),"")</f>
        <v/>
      </c>
      <c r="B245" s="29">
        <f>IF(OR(L245="",M245="B"),"",INDEX('マスタ'!$C$2:$C$246,L245))</f>
        <v/>
      </c>
      <c r="C245" s="29">
        <f>IF(M245="I",INDEX('マスタ'!$D$2:$D$246,L245)&amp;"","")</f>
        <v/>
      </c>
      <c r="D245" s="30">
        <f>IF(M245="I",INDEX('マスタ'!$M$2:$M$246,L245),"")</f>
        <v/>
      </c>
      <c r="F245" s="47">
        <f>IF(M245="I",INDEX('マスタ'!$F$2:$F$246,L245)&amp;"","")</f>
        <v/>
      </c>
      <c r="G245" s="48" t="n"/>
      <c r="I245" s="48">
        <f>IF(M245="I",IF(OR(G245="",D245=""),"",ROUND(D245*G245,0)),IF(M245="S",SUMIFS(I$24:I244,N$24:N244,N245,M$24:M244,"I"),""))</f>
        <v/>
      </c>
      <c r="K245" s="29" t="n"/>
      <c r="L245">
        <f>IFERROR(MATCH(222,'マスタ'!$N$2:$N$246,0),"")</f>
        <v/>
      </c>
      <c r="M245">
        <f>IF(L245="","",INDEX('マスタ'!$A$2:$A$246,L245))</f>
        <v/>
      </c>
      <c r="N245">
        <f>IF(L245="","",INDEX('マスタ'!$B$2:$B$246,L245))</f>
        <v/>
      </c>
    </row>
    <row r="246">
      <c r="A246" s="29">
        <f>IF(M246="T",INDEX('設定'!$H$23:$H$34,N246),"")</f>
        <v/>
      </c>
      <c r="B246" s="29">
        <f>IF(OR(L246="",M246="B"),"",INDEX('マスタ'!$C$2:$C$246,L246))</f>
        <v/>
      </c>
      <c r="C246" s="29">
        <f>IF(M246="I",INDEX('マスタ'!$D$2:$D$246,L246)&amp;"","")</f>
        <v/>
      </c>
      <c r="D246" s="30">
        <f>IF(M246="I",INDEX('マスタ'!$M$2:$M$246,L246),"")</f>
        <v/>
      </c>
      <c r="F246" s="47">
        <f>IF(M246="I",INDEX('マスタ'!$F$2:$F$246,L246)&amp;"","")</f>
        <v/>
      </c>
      <c r="G246" s="48" t="n"/>
      <c r="I246" s="48">
        <f>IF(M246="I",IF(OR(G246="",D246=""),"",ROUND(D246*G246,0)),IF(M246="S",SUMIFS(I$24:I245,N$24:N245,N246,M$24:M245,"I"),""))</f>
        <v/>
      </c>
      <c r="K246" s="29" t="n"/>
      <c r="L246">
        <f>IFERROR(MATCH(223,'マスタ'!$N$2:$N$246,0),"")</f>
        <v/>
      </c>
      <c r="M246">
        <f>IF(L246="","",INDEX('マスタ'!$A$2:$A$246,L246))</f>
        <v/>
      </c>
      <c r="N246">
        <f>IF(L246="","",INDEX('マスタ'!$B$2:$B$246,L246))</f>
        <v/>
      </c>
    </row>
    <row r="247">
      <c r="A247" s="29">
        <f>IF(M247="T",INDEX('設定'!$H$23:$H$34,N247),"")</f>
        <v/>
      </c>
      <c r="B247" s="29">
        <f>IF(OR(L247="",M247="B"),"",INDEX('マスタ'!$C$2:$C$246,L247))</f>
        <v/>
      </c>
      <c r="C247" s="29">
        <f>IF(M247="I",INDEX('マスタ'!$D$2:$D$246,L247)&amp;"","")</f>
        <v/>
      </c>
      <c r="D247" s="30">
        <f>IF(M247="I",INDEX('マスタ'!$M$2:$M$246,L247),"")</f>
        <v/>
      </c>
      <c r="F247" s="47">
        <f>IF(M247="I",INDEX('マスタ'!$F$2:$F$246,L247)&amp;"","")</f>
        <v/>
      </c>
      <c r="G247" s="48" t="n"/>
      <c r="I247" s="48">
        <f>IF(M247="I",IF(OR(G247="",D247=""),"",ROUND(D247*G247,0)),IF(M247="S",SUMIFS(I$24:I246,N$24:N246,N247,M$24:M246,"I"),""))</f>
        <v/>
      </c>
      <c r="K247" s="29" t="n"/>
      <c r="L247">
        <f>IFERROR(MATCH(224,'マスタ'!$N$2:$N$246,0),"")</f>
        <v/>
      </c>
      <c r="M247">
        <f>IF(L247="","",INDEX('マスタ'!$A$2:$A$246,L247))</f>
        <v/>
      </c>
      <c r="N247">
        <f>IF(L247="","",INDEX('マスタ'!$B$2:$B$246,L247))</f>
        <v/>
      </c>
    </row>
    <row r="248">
      <c r="A248" s="29">
        <f>IF(M248="T",INDEX('設定'!$H$23:$H$34,N248),"")</f>
        <v/>
      </c>
      <c r="B248" s="29">
        <f>IF(OR(L248="",M248="B"),"",INDEX('マスタ'!$C$2:$C$246,L248))</f>
        <v/>
      </c>
      <c r="C248" s="29">
        <f>IF(M248="I",INDEX('マスタ'!$D$2:$D$246,L248)&amp;"","")</f>
        <v/>
      </c>
      <c r="D248" s="30">
        <f>IF(M248="I",INDEX('マスタ'!$M$2:$M$246,L248),"")</f>
        <v/>
      </c>
      <c r="F248" s="47">
        <f>IF(M248="I",INDEX('マスタ'!$F$2:$F$246,L248)&amp;"","")</f>
        <v/>
      </c>
      <c r="G248" s="48" t="n"/>
      <c r="I248" s="48">
        <f>IF(M248="I",IF(OR(G248="",D248=""),"",ROUND(D248*G248,0)),IF(M248="S",SUMIFS(I$24:I247,N$24:N247,N248,M$24:M247,"I"),""))</f>
        <v/>
      </c>
      <c r="K248" s="29" t="n"/>
      <c r="L248">
        <f>IFERROR(MATCH(225,'マスタ'!$N$2:$N$246,0),"")</f>
        <v/>
      </c>
      <c r="M248">
        <f>IF(L248="","",INDEX('マスタ'!$A$2:$A$246,L248))</f>
        <v/>
      </c>
      <c r="N248">
        <f>IF(L248="","",INDEX('マスタ'!$B$2:$B$246,L248))</f>
        <v/>
      </c>
    </row>
    <row r="249">
      <c r="A249" s="29">
        <f>IF(M249="T",INDEX('設定'!$H$23:$H$34,N249),"")</f>
        <v/>
      </c>
      <c r="B249" s="29">
        <f>IF(OR(L249="",M249="B"),"",INDEX('マスタ'!$C$2:$C$246,L249))</f>
        <v/>
      </c>
      <c r="C249" s="29">
        <f>IF(M249="I",INDEX('マスタ'!$D$2:$D$246,L249)&amp;"","")</f>
        <v/>
      </c>
      <c r="D249" s="30">
        <f>IF(M249="I",INDEX('マスタ'!$M$2:$M$246,L249),"")</f>
        <v/>
      </c>
      <c r="F249" s="47">
        <f>IF(M249="I",INDEX('マスタ'!$F$2:$F$246,L249)&amp;"","")</f>
        <v/>
      </c>
      <c r="G249" s="48" t="n"/>
      <c r="I249" s="48">
        <f>IF(M249="I",IF(OR(G249="",D249=""),"",ROUND(D249*G249,0)),IF(M249="S",SUMIFS(I$24:I248,N$24:N248,N249,M$24:M248,"I"),""))</f>
        <v/>
      </c>
      <c r="K249" s="29" t="n"/>
      <c r="L249">
        <f>IFERROR(MATCH(226,'マスタ'!$N$2:$N$246,0),"")</f>
        <v/>
      </c>
      <c r="M249">
        <f>IF(L249="","",INDEX('マスタ'!$A$2:$A$246,L249))</f>
        <v/>
      </c>
      <c r="N249">
        <f>IF(L249="","",INDEX('マスタ'!$B$2:$B$246,L249))</f>
        <v/>
      </c>
    </row>
    <row r="250">
      <c r="A250" s="29">
        <f>IF(M250="T",INDEX('設定'!$H$23:$H$34,N250),"")</f>
        <v/>
      </c>
      <c r="B250" s="29">
        <f>IF(OR(L250="",M250="B"),"",INDEX('マスタ'!$C$2:$C$246,L250))</f>
        <v/>
      </c>
      <c r="C250" s="29">
        <f>IF(M250="I",INDEX('マスタ'!$D$2:$D$246,L250)&amp;"","")</f>
        <v/>
      </c>
      <c r="D250" s="30">
        <f>IF(M250="I",INDEX('マスタ'!$M$2:$M$246,L250),"")</f>
        <v/>
      </c>
      <c r="F250" s="47">
        <f>IF(M250="I",INDEX('マスタ'!$F$2:$F$246,L250)&amp;"","")</f>
        <v/>
      </c>
      <c r="G250" s="48" t="n"/>
      <c r="I250" s="48">
        <f>IF(M250="I",IF(OR(G250="",D250=""),"",ROUND(D250*G250,0)),IF(M250="S",SUMIFS(I$24:I249,N$24:N249,N250,M$24:M249,"I"),""))</f>
        <v/>
      </c>
      <c r="K250" s="29" t="n"/>
      <c r="L250">
        <f>IFERROR(MATCH(227,'マスタ'!$N$2:$N$246,0),"")</f>
        <v/>
      </c>
      <c r="M250">
        <f>IF(L250="","",INDEX('マスタ'!$A$2:$A$246,L250))</f>
        <v/>
      </c>
      <c r="N250">
        <f>IF(L250="","",INDEX('マスタ'!$B$2:$B$246,L250))</f>
        <v/>
      </c>
    </row>
    <row r="251">
      <c r="A251" s="29">
        <f>IF(M251="T",INDEX('設定'!$H$23:$H$34,N251),"")</f>
        <v/>
      </c>
      <c r="B251" s="29">
        <f>IF(OR(L251="",M251="B"),"",INDEX('マスタ'!$C$2:$C$246,L251))</f>
        <v/>
      </c>
      <c r="C251" s="29">
        <f>IF(M251="I",INDEX('マスタ'!$D$2:$D$246,L251)&amp;"","")</f>
        <v/>
      </c>
      <c r="D251" s="30">
        <f>IF(M251="I",INDEX('マスタ'!$M$2:$M$246,L251),"")</f>
        <v/>
      </c>
      <c r="F251" s="47">
        <f>IF(M251="I",INDEX('マスタ'!$F$2:$F$246,L251)&amp;"","")</f>
        <v/>
      </c>
      <c r="G251" s="48" t="n"/>
      <c r="I251" s="48">
        <f>IF(M251="I",IF(OR(G251="",D251=""),"",ROUND(D251*G251,0)),IF(M251="S",SUMIFS(I$24:I250,N$24:N250,N251,M$24:M250,"I"),""))</f>
        <v/>
      </c>
      <c r="K251" s="29" t="n"/>
      <c r="L251">
        <f>IFERROR(MATCH(228,'マスタ'!$N$2:$N$246,0),"")</f>
        <v/>
      </c>
      <c r="M251">
        <f>IF(L251="","",INDEX('マスタ'!$A$2:$A$246,L251))</f>
        <v/>
      </c>
      <c r="N251">
        <f>IF(L251="","",INDEX('マスタ'!$B$2:$B$246,L251))</f>
        <v/>
      </c>
    </row>
    <row r="252">
      <c r="A252" s="29">
        <f>IF(M252="T",INDEX('設定'!$H$23:$H$34,N252),"")</f>
        <v/>
      </c>
      <c r="B252" s="29">
        <f>IF(OR(L252="",M252="B"),"",INDEX('マスタ'!$C$2:$C$246,L252))</f>
        <v/>
      </c>
      <c r="C252" s="29">
        <f>IF(M252="I",INDEX('マスタ'!$D$2:$D$246,L252)&amp;"","")</f>
        <v/>
      </c>
      <c r="D252" s="30">
        <f>IF(M252="I",INDEX('マスタ'!$M$2:$M$246,L252),"")</f>
        <v/>
      </c>
      <c r="F252" s="47">
        <f>IF(M252="I",INDEX('マスタ'!$F$2:$F$246,L252)&amp;"","")</f>
        <v/>
      </c>
      <c r="G252" s="48" t="n"/>
      <c r="I252" s="48">
        <f>IF(M252="I",IF(OR(G252="",D252=""),"",ROUND(D252*G252,0)),IF(M252="S",SUMIFS(I$24:I251,N$24:N251,N252,M$24:M251,"I"),""))</f>
        <v/>
      </c>
      <c r="K252" s="29" t="n"/>
      <c r="L252">
        <f>IFERROR(MATCH(229,'マスタ'!$N$2:$N$246,0),"")</f>
        <v/>
      </c>
      <c r="M252">
        <f>IF(L252="","",INDEX('マスタ'!$A$2:$A$246,L252))</f>
        <v/>
      </c>
      <c r="N252">
        <f>IF(L252="","",INDEX('マスタ'!$B$2:$B$246,L252))</f>
        <v/>
      </c>
    </row>
    <row r="253">
      <c r="A253" s="29">
        <f>IF(M253="T",INDEX('設定'!$H$23:$H$34,N253),"")</f>
        <v/>
      </c>
      <c r="B253" s="29">
        <f>IF(OR(L253="",M253="B"),"",INDEX('マスタ'!$C$2:$C$246,L253))</f>
        <v/>
      </c>
      <c r="C253" s="29">
        <f>IF(M253="I",INDEX('マスタ'!$D$2:$D$246,L253)&amp;"","")</f>
        <v/>
      </c>
      <c r="D253" s="30">
        <f>IF(M253="I",INDEX('マスタ'!$M$2:$M$246,L253),"")</f>
        <v/>
      </c>
      <c r="F253" s="47">
        <f>IF(M253="I",INDEX('マスタ'!$F$2:$F$246,L253)&amp;"","")</f>
        <v/>
      </c>
      <c r="G253" s="48" t="n"/>
      <c r="I253" s="48">
        <f>IF(M253="I",IF(OR(G253="",D253=""),"",ROUND(D253*G253,0)),IF(M253="S",SUMIFS(I$24:I252,N$24:N252,N253,M$24:M252,"I"),""))</f>
        <v/>
      </c>
      <c r="K253" s="29" t="n"/>
      <c r="L253">
        <f>IFERROR(MATCH(230,'マスタ'!$N$2:$N$246,0),"")</f>
        <v/>
      </c>
      <c r="M253">
        <f>IF(L253="","",INDEX('マスタ'!$A$2:$A$246,L253))</f>
        <v/>
      </c>
      <c r="N253">
        <f>IF(L253="","",INDEX('マスタ'!$B$2:$B$246,L253))</f>
        <v/>
      </c>
    </row>
    <row r="254">
      <c r="A254" s="29">
        <f>IF(M254="T",INDEX('設定'!$H$23:$H$34,N254),"")</f>
        <v/>
      </c>
      <c r="B254" s="29">
        <f>IF(OR(L254="",M254="B"),"",INDEX('マスタ'!$C$2:$C$246,L254))</f>
        <v/>
      </c>
      <c r="C254" s="29">
        <f>IF(M254="I",INDEX('マスタ'!$D$2:$D$246,L254)&amp;"","")</f>
        <v/>
      </c>
      <c r="D254" s="30">
        <f>IF(M254="I",INDEX('マスタ'!$M$2:$M$246,L254),"")</f>
        <v/>
      </c>
      <c r="F254" s="47">
        <f>IF(M254="I",INDEX('マスタ'!$F$2:$F$246,L254)&amp;"","")</f>
        <v/>
      </c>
      <c r="G254" s="48" t="n"/>
      <c r="I254" s="48">
        <f>IF(M254="I",IF(OR(G254="",D254=""),"",ROUND(D254*G254,0)),IF(M254="S",SUMIFS(I$24:I253,N$24:N253,N254,M$24:M253,"I"),""))</f>
        <v/>
      </c>
      <c r="K254" s="29" t="n"/>
      <c r="L254">
        <f>IFERROR(MATCH(231,'マスタ'!$N$2:$N$246,0),"")</f>
        <v/>
      </c>
      <c r="M254">
        <f>IF(L254="","",INDEX('マスタ'!$A$2:$A$246,L254))</f>
        <v/>
      </c>
      <c r="N254">
        <f>IF(L254="","",INDEX('マスタ'!$B$2:$B$246,L254))</f>
        <v/>
      </c>
    </row>
    <row r="255">
      <c r="A255" s="29">
        <f>IF(M255="T",INDEX('設定'!$H$23:$H$34,N255),"")</f>
        <v/>
      </c>
      <c r="B255" s="29">
        <f>IF(OR(L255="",M255="B"),"",INDEX('マスタ'!$C$2:$C$246,L255))</f>
        <v/>
      </c>
      <c r="C255" s="29">
        <f>IF(M255="I",INDEX('マスタ'!$D$2:$D$246,L255)&amp;"","")</f>
        <v/>
      </c>
      <c r="D255" s="30">
        <f>IF(M255="I",INDEX('マスタ'!$M$2:$M$246,L255),"")</f>
        <v/>
      </c>
      <c r="F255" s="47">
        <f>IF(M255="I",INDEX('マスタ'!$F$2:$F$246,L255)&amp;"","")</f>
        <v/>
      </c>
      <c r="G255" s="48" t="n"/>
      <c r="I255" s="48">
        <f>IF(M255="I",IF(OR(G255="",D255=""),"",ROUND(D255*G255,0)),IF(M255="S",SUMIFS(I$24:I254,N$24:N254,N255,M$24:M254,"I"),""))</f>
        <v/>
      </c>
      <c r="K255" s="29" t="n"/>
      <c r="L255">
        <f>IFERROR(MATCH(232,'マスタ'!$N$2:$N$246,0),"")</f>
        <v/>
      </c>
      <c r="M255">
        <f>IF(L255="","",INDEX('マスタ'!$A$2:$A$246,L255))</f>
        <v/>
      </c>
      <c r="N255">
        <f>IF(L255="","",INDEX('マスタ'!$B$2:$B$246,L255))</f>
        <v/>
      </c>
    </row>
    <row r="256">
      <c r="A256" s="29">
        <f>IF(M256="T",INDEX('設定'!$H$23:$H$34,N256),"")</f>
        <v/>
      </c>
      <c r="B256" s="29">
        <f>IF(OR(L256="",M256="B"),"",INDEX('マスタ'!$C$2:$C$246,L256))</f>
        <v/>
      </c>
      <c r="C256" s="29">
        <f>IF(M256="I",INDEX('マスタ'!$D$2:$D$246,L256)&amp;"","")</f>
        <v/>
      </c>
      <c r="D256" s="30">
        <f>IF(M256="I",INDEX('マスタ'!$M$2:$M$246,L256),"")</f>
        <v/>
      </c>
      <c r="F256" s="47">
        <f>IF(M256="I",INDEX('マスタ'!$F$2:$F$246,L256)&amp;"","")</f>
        <v/>
      </c>
      <c r="G256" s="48" t="n"/>
      <c r="I256" s="48">
        <f>IF(M256="I",IF(OR(G256="",D256=""),"",ROUND(D256*G256,0)),IF(M256="S",SUMIFS(I$24:I255,N$24:N255,N256,M$24:M255,"I"),""))</f>
        <v/>
      </c>
      <c r="K256" s="29" t="n"/>
      <c r="L256">
        <f>IFERROR(MATCH(233,'マスタ'!$N$2:$N$246,0),"")</f>
        <v/>
      </c>
      <c r="M256">
        <f>IF(L256="","",INDEX('マスタ'!$A$2:$A$246,L256))</f>
        <v/>
      </c>
      <c r="N256">
        <f>IF(L256="","",INDEX('マスタ'!$B$2:$B$246,L256))</f>
        <v/>
      </c>
    </row>
    <row r="257">
      <c r="A257" s="29">
        <f>IF(M257="T",INDEX('設定'!$H$23:$H$34,N257),"")</f>
        <v/>
      </c>
      <c r="B257" s="29">
        <f>IF(OR(L257="",M257="B"),"",INDEX('マスタ'!$C$2:$C$246,L257))</f>
        <v/>
      </c>
      <c r="C257" s="29">
        <f>IF(M257="I",INDEX('マスタ'!$D$2:$D$246,L257)&amp;"","")</f>
        <v/>
      </c>
      <c r="D257" s="30">
        <f>IF(M257="I",INDEX('マスタ'!$M$2:$M$246,L257),"")</f>
        <v/>
      </c>
      <c r="F257" s="47">
        <f>IF(M257="I",INDEX('マスタ'!$F$2:$F$246,L257)&amp;"","")</f>
        <v/>
      </c>
      <c r="G257" s="48" t="n"/>
      <c r="I257" s="48">
        <f>IF(M257="I",IF(OR(G257="",D257=""),"",ROUND(D257*G257,0)),IF(M257="S",SUMIFS(I$24:I256,N$24:N256,N257,M$24:M256,"I"),""))</f>
        <v/>
      </c>
      <c r="K257" s="29" t="n"/>
      <c r="L257">
        <f>IFERROR(MATCH(234,'マスタ'!$N$2:$N$246,0),"")</f>
        <v/>
      </c>
      <c r="M257">
        <f>IF(L257="","",INDEX('マスタ'!$A$2:$A$246,L257))</f>
        <v/>
      </c>
      <c r="N257">
        <f>IF(L257="","",INDEX('マスタ'!$B$2:$B$246,L257))</f>
        <v/>
      </c>
    </row>
    <row r="258">
      <c r="A258" s="29">
        <f>IF(M258="T",INDEX('設定'!$H$23:$H$34,N258),"")</f>
        <v/>
      </c>
      <c r="B258" s="29">
        <f>IF(OR(L258="",M258="B"),"",INDEX('マスタ'!$C$2:$C$246,L258))</f>
        <v/>
      </c>
      <c r="C258" s="29">
        <f>IF(M258="I",INDEX('マスタ'!$D$2:$D$246,L258)&amp;"","")</f>
        <v/>
      </c>
      <c r="D258" s="30">
        <f>IF(M258="I",INDEX('マスタ'!$M$2:$M$246,L258),"")</f>
        <v/>
      </c>
      <c r="F258" s="47">
        <f>IF(M258="I",INDEX('マスタ'!$F$2:$F$246,L258)&amp;"","")</f>
        <v/>
      </c>
      <c r="G258" s="48" t="n"/>
      <c r="I258" s="48">
        <f>IF(M258="I",IF(OR(G258="",D258=""),"",ROUND(D258*G258,0)),IF(M258="S",SUMIFS(I$24:I257,N$24:N257,N258,M$24:M257,"I"),""))</f>
        <v/>
      </c>
      <c r="K258" s="29" t="n"/>
      <c r="L258">
        <f>IFERROR(MATCH(235,'マスタ'!$N$2:$N$246,0),"")</f>
        <v/>
      </c>
      <c r="M258">
        <f>IF(L258="","",INDEX('マスタ'!$A$2:$A$246,L258))</f>
        <v/>
      </c>
      <c r="N258">
        <f>IF(L258="","",INDEX('マスタ'!$B$2:$B$246,L258))</f>
        <v/>
      </c>
    </row>
    <row r="259">
      <c r="A259" s="29">
        <f>IF(M259="T",INDEX('設定'!$H$23:$H$34,N259),"")</f>
        <v/>
      </c>
      <c r="B259" s="29">
        <f>IF(OR(L259="",M259="B"),"",INDEX('マスタ'!$C$2:$C$246,L259))</f>
        <v/>
      </c>
      <c r="C259" s="29">
        <f>IF(M259="I",INDEX('マスタ'!$D$2:$D$246,L259)&amp;"","")</f>
        <v/>
      </c>
      <c r="D259" s="30">
        <f>IF(M259="I",INDEX('マスタ'!$M$2:$M$246,L259),"")</f>
        <v/>
      </c>
      <c r="F259" s="47">
        <f>IF(M259="I",INDEX('マスタ'!$F$2:$F$246,L259)&amp;"","")</f>
        <v/>
      </c>
      <c r="G259" s="48" t="n"/>
      <c r="I259" s="48">
        <f>IF(M259="I",IF(OR(G259="",D259=""),"",ROUND(D259*G259,0)),IF(M259="S",SUMIFS(I$24:I258,N$24:N258,N259,M$24:M258,"I"),""))</f>
        <v/>
      </c>
      <c r="K259" s="29" t="n"/>
      <c r="L259">
        <f>IFERROR(MATCH(236,'マスタ'!$N$2:$N$246,0),"")</f>
        <v/>
      </c>
      <c r="M259">
        <f>IF(L259="","",INDEX('マスタ'!$A$2:$A$246,L259))</f>
        <v/>
      </c>
      <c r="N259">
        <f>IF(L259="","",INDEX('マスタ'!$B$2:$B$246,L259))</f>
        <v/>
      </c>
    </row>
    <row r="260">
      <c r="A260" s="29">
        <f>IF(M260="T",INDEX('設定'!$H$23:$H$34,N260),"")</f>
        <v/>
      </c>
      <c r="B260" s="29">
        <f>IF(OR(L260="",M260="B"),"",INDEX('マスタ'!$C$2:$C$246,L260))</f>
        <v/>
      </c>
      <c r="C260" s="29">
        <f>IF(M260="I",INDEX('マスタ'!$D$2:$D$246,L260)&amp;"","")</f>
        <v/>
      </c>
      <c r="D260" s="30">
        <f>IF(M260="I",INDEX('マスタ'!$M$2:$M$246,L260),"")</f>
        <v/>
      </c>
      <c r="F260" s="47">
        <f>IF(M260="I",INDEX('マスタ'!$F$2:$F$246,L260)&amp;"","")</f>
        <v/>
      </c>
      <c r="G260" s="48" t="n"/>
      <c r="I260" s="48">
        <f>IF(M260="I",IF(OR(G260="",D260=""),"",ROUND(D260*G260,0)),IF(M260="S",SUMIFS(I$24:I259,N$24:N259,N260,M$24:M259,"I"),""))</f>
        <v/>
      </c>
      <c r="K260" s="29" t="n"/>
      <c r="L260">
        <f>IFERROR(MATCH(237,'マスタ'!$N$2:$N$246,0),"")</f>
        <v/>
      </c>
      <c r="M260">
        <f>IF(L260="","",INDEX('マスタ'!$A$2:$A$246,L260))</f>
        <v/>
      </c>
      <c r="N260">
        <f>IF(L260="","",INDEX('マスタ'!$B$2:$B$246,L260))</f>
        <v/>
      </c>
    </row>
    <row r="261">
      <c r="A261" s="29">
        <f>IF(M261="T",INDEX('設定'!$H$23:$H$34,N261),"")</f>
        <v/>
      </c>
      <c r="B261" s="29">
        <f>IF(OR(L261="",M261="B"),"",INDEX('マスタ'!$C$2:$C$246,L261))</f>
        <v/>
      </c>
      <c r="C261" s="29">
        <f>IF(M261="I",INDEX('マスタ'!$D$2:$D$246,L261)&amp;"","")</f>
        <v/>
      </c>
      <c r="D261" s="30">
        <f>IF(M261="I",INDEX('マスタ'!$M$2:$M$246,L261),"")</f>
        <v/>
      </c>
      <c r="F261" s="47">
        <f>IF(M261="I",INDEX('マスタ'!$F$2:$F$246,L261)&amp;"","")</f>
        <v/>
      </c>
      <c r="G261" s="48" t="n"/>
      <c r="I261" s="48">
        <f>IF(M261="I",IF(OR(G261="",D261=""),"",ROUND(D261*G261,0)),IF(M261="S",SUMIFS(I$24:I260,N$24:N260,N261,M$24:M260,"I"),""))</f>
        <v/>
      </c>
      <c r="K261" s="29" t="n"/>
      <c r="L261">
        <f>IFERROR(MATCH(238,'マスタ'!$N$2:$N$246,0),"")</f>
        <v/>
      </c>
      <c r="M261">
        <f>IF(L261="","",INDEX('マスタ'!$A$2:$A$246,L261))</f>
        <v/>
      </c>
      <c r="N261">
        <f>IF(L261="","",INDEX('マスタ'!$B$2:$B$246,L261))</f>
        <v/>
      </c>
    </row>
    <row r="262">
      <c r="A262" s="29">
        <f>IF(M262="T",INDEX('設定'!$H$23:$H$34,N262),"")</f>
        <v/>
      </c>
      <c r="B262" s="29">
        <f>IF(OR(L262="",M262="B"),"",INDEX('マスタ'!$C$2:$C$246,L262))</f>
        <v/>
      </c>
      <c r="C262" s="29">
        <f>IF(M262="I",INDEX('マスタ'!$D$2:$D$246,L262)&amp;"","")</f>
        <v/>
      </c>
      <c r="D262" s="30">
        <f>IF(M262="I",INDEX('マスタ'!$M$2:$M$246,L262),"")</f>
        <v/>
      </c>
      <c r="F262" s="47">
        <f>IF(M262="I",INDEX('マスタ'!$F$2:$F$246,L262)&amp;"","")</f>
        <v/>
      </c>
      <c r="G262" s="48" t="n"/>
      <c r="I262" s="48">
        <f>IF(M262="I",IF(OR(G262="",D262=""),"",ROUND(D262*G262,0)),IF(M262="S",SUMIFS(I$24:I261,N$24:N261,N262,M$24:M261,"I"),""))</f>
        <v/>
      </c>
      <c r="K262" s="29" t="n"/>
      <c r="L262">
        <f>IFERROR(MATCH(239,'マスタ'!$N$2:$N$246,0),"")</f>
        <v/>
      </c>
      <c r="M262">
        <f>IF(L262="","",INDEX('マスタ'!$A$2:$A$246,L262))</f>
        <v/>
      </c>
      <c r="N262">
        <f>IF(L262="","",INDEX('マスタ'!$B$2:$B$246,L262))</f>
        <v/>
      </c>
    </row>
    <row r="263">
      <c r="A263" s="29">
        <f>IF(M263="T",INDEX('設定'!$H$23:$H$34,N263),"")</f>
        <v/>
      </c>
      <c r="B263" s="29">
        <f>IF(OR(L263="",M263="B"),"",INDEX('マスタ'!$C$2:$C$246,L263))</f>
        <v/>
      </c>
      <c r="C263" s="29">
        <f>IF(M263="I",INDEX('マスタ'!$D$2:$D$246,L263)&amp;"","")</f>
        <v/>
      </c>
      <c r="D263" s="30">
        <f>IF(M263="I",INDEX('マスタ'!$M$2:$M$246,L263),"")</f>
        <v/>
      </c>
      <c r="F263" s="47">
        <f>IF(M263="I",INDEX('マスタ'!$F$2:$F$246,L263)&amp;"","")</f>
        <v/>
      </c>
      <c r="G263" s="48" t="n"/>
      <c r="I263" s="48">
        <f>IF(M263="I",IF(OR(G263="",D263=""),"",ROUND(D263*G263,0)),IF(M263="S",SUMIFS(I$24:I262,N$24:N262,N263,M$24:M262,"I"),""))</f>
        <v/>
      </c>
      <c r="K263" s="29" t="n"/>
      <c r="L263">
        <f>IFERROR(MATCH(240,'マスタ'!$N$2:$N$246,0),"")</f>
        <v/>
      </c>
      <c r="M263">
        <f>IF(L263="","",INDEX('マスタ'!$A$2:$A$246,L263))</f>
        <v/>
      </c>
      <c r="N263">
        <f>IF(L263="","",INDEX('マスタ'!$B$2:$B$246,L263))</f>
        <v/>
      </c>
    </row>
    <row r="264">
      <c r="A264" s="29">
        <f>IF(M264="T",INDEX('設定'!$H$23:$H$34,N264),"")</f>
        <v/>
      </c>
      <c r="B264" s="29">
        <f>IF(OR(L264="",M264="B"),"",INDEX('マスタ'!$C$2:$C$246,L264))</f>
        <v/>
      </c>
      <c r="C264" s="29">
        <f>IF(M264="I",INDEX('マスタ'!$D$2:$D$246,L264)&amp;"","")</f>
        <v/>
      </c>
      <c r="D264" s="30">
        <f>IF(M264="I",INDEX('マスタ'!$M$2:$M$246,L264),"")</f>
        <v/>
      </c>
      <c r="F264" s="47">
        <f>IF(M264="I",INDEX('マスタ'!$F$2:$F$246,L264)&amp;"","")</f>
        <v/>
      </c>
      <c r="G264" s="48" t="n"/>
      <c r="I264" s="48">
        <f>IF(M264="I",IF(OR(G264="",D264=""),"",ROUND(D264*G264,0)),IF(M264="S",SUMIFS(I$24:I263,N$24:N263,N264,M$24:M263,"I"),""))</f>
        <v/>
      </c>
      <c r="K264" s="29" t="n"/>
      <c r="L264">
        <f>IFERROR(MATCH(241,'マスタ'!$N$2:$N$246,0),"")</f>
        <v/>
      </c>
      <c r="M264">
        <f>IF(L264="","",INDEX('マスタ'!$A$2:$A$246,L264))</f>
        <v/>
      </c>
      <c r="N264">
        <f>IF(L264="","",INDEX('マスタ'!$B$2:$B$246,L264))</f>
        <v/>
      </c>
    </row>
    <row r="265">
      <c r="A265" s="29">
        <f>IF(M265="T",INDEX('設定'!$H$23:$H$34,N265),"")</f>
        <v/>
      </c>
      <c r="B265" s="29">
        <f>IF(OR(L265="",M265="B"),"",INDEX('マスタ'!$C$2:$C$246,L265))</f>
        <v/>
      </c>
      <c r="C265" s="29">
        <f>IF(M265="I",INDEX('マスタ'!$D$2:$D$246,L265)&amp;"","")</f>
        <v/>
      </c>
      <c r="D265" s="30">
        <f>IF(M265="I",INDEX('マスタ'!$M$2:$M$246,L265),"")</f>
        <v/>
      </c>
      <c r="F265" s="47">
        <f>IF(M265="I",INDEX('マスタ'!$F$2:$F$246,L265)&amp;"","")</f>
        <v/>
      </c>
      <c r="G265" s="48" t="n"/>
      <c r="I265" s="48">
        <f>IF(M265="I",IF(OR(G265="",D265=""),"",ROUND(D265*G265,0)),IF(M265="S",SUMIFS(I$24:I264,N$24:N264,N265,M$24:M264,"I"),""))</f>
        <v/>
      </c>
      <c r="K265" s="29" t="n"/>
      <c r="L265">
        <f>IFERROR(MATCH(242,'マスタ'!$N$2:$N$246,0),"")</f>
        <v/>
      </c>
      <c r="M265">
        <f>IF(L265="","",INDEX('マスタ'!$A$2:$A$246,L265))</f>
        <v/>
      </c>
      <c r="N265">
        <f>IF(L265="","",INDEX('マスタ'!$B$2:$B$246,L265))</f>
        <v/>
      </c>
    </row>
    <row r="266">
      <c r="A266" s="29">
        <f>IF(M266="T",INDEX('設定'!$H$23:$H$34,N266),"")</f>
        <v/>
      </c>
      <c r="B266" s="29">
        <f>IF(OR(L266="",M266="B"),"",INDEX('マスタ'!$C$2:$C$246,L266))</f>
        <v/>
      </c>
      <c r="C266" s="29">
        <f>IF(M266="I",INDEX('マスタ'!$D$2:$D$246,L266)&amp;"","")</f>
        <v/>
      </c>
      <c r="D266" s="30">
        <f>IF(M266="I",INDEX('マスタ'!$M$2:$M$246,L266),"")</f>
        <v/>
      </c>
      <c r="F266" s="47">
        <f>IF(M266="I",INDEX('マスタ'!$F$2:$F$246,L266)&amp;"","")</f>
        <v/>
      </c>
      <c r="G266" s="48" t="n"/>
      <c r="I266" s="48">
        <f>IF(M266="I",IF(OR(G266="",D266=""),"",ROUND(D266*G266,0)),IF(M266="S",SUMIFS(I$24:I265,N$24:N265,N266,M$24:M265,"I"),""))</f>
        <v/>
      </c>
      <c r="K266" s="29" t="n"/>
      <c r="L266">
        <f>IFERROR(MATCH(243,'マスタ'!$N$2:$N$246,0),"")</f>
        <v/>
      </c>
      <c r="M266">
        <f>IF(L266="","",INDEX('マスタ'!$A$2:$A$246,L266))</f>
        <v/>
      </c>
      <c r="N266">
        <f>IF(L266="","",INDEX('マスタ'!$B$2:$B$246,L266))</f>
        <v/>
      </c>
    </row>
    <row r="267">
      <c r="A267" s="29">
        <f>IF(M267="T",INDEX('設定'!$H$23:$H$34,N267),"")</f>
        <v/>
      </c>
      <c r="B267" s="29">
        <f>IF(OR(L267="",M267="B"),"",INDEX('マスタ'!$C$2:$C$246,L267))</f>
        <v/>
      </c>
      <c r="C267" s="29">
        <f>IF(M267="I",INDEX('マスタ'!$D$2:$D$246,L267)&amp;"","")</f>
        <v/>
      </c>
      <c r="D267" s="30">
        <f>IF(M267="I",INDEX('マスタ'!$M$2:$M$246,L267),"")</f>
        <v/>
      </c>
      <c r="F267" s="47">
        <f>IF(M267="I",INDEX('マスタ'!$F$2:$F$246,L267)&amp;"","")</f>
        <v/>
      </c>
      <c r="G267" s="48" t="n"/>
      <c r="I267" s="48">
        <f>IF(M267="I",IF(OR(G267="",D267=""),"",ROUND(D267*G267,0)),IF(M267="S",SUMIFS(I$24:I266,N$24:N266,N267,M$24:M266,"I"),""))</f>
        <v/>
      </c>
      <c r="K267" s="29" t="n"/>
      <c r="L267">
        <f>IFERROR(MATCH(244,'マスタ'!$N$2:$N$246,0),"")</f>
        <v/>
      </c>
      <c r="M267">
        <f>IF(L267="","",INDEX('マスタ'!$A$2:$A$246,L267))</f>
        <v/>
      </c>
      <c r="N267">
        <f>IF(L267="","",INDEX('マスタ'!$B$2:$B$246,L267))</f>
        <v/>
      </c>
    </row>
    <row r="268">
      <c r="A268" s="29">
        <f>IF(M268="T",INDEX('設定'!$H$23:$H$34,N268),"")</f>
        <v/>
      </c>
      <c r="B268" s="29">
        <f>IF(OR(L268="",M268="B"),"",INDEX('マスタ'!$C$2:$C$246,L268))</f>
        <v/>
      </c>
      <c r="C268" s="29">
        <f>IF(M268="I",INDEX('マスタ'!$D$2:$D$246,L268)&amp;"","")</f>
        <v/>
      </c>
      <c r="D268" s="30">
        <f>IF(M268="I",INDEX('マスタ'!$M$2:$M$246,L268),"")</f>
        <v/>
      </c>
      <c r="F268" s="47">
        <f>IF(M268="I",INDEX('マスタ'!$F$2:$F$246,L268)&amp;"","")</f>
        <v/>
      </c>
      <c r="G268" s="48" t="n"/>
      <c r="I268" s="48">
        <f>IF(M268="I",IF(OR(G268="",D268=""),"",ROUND(D268*G268,0)),IF(M268="S",SUMIFS(I$24:I267,N$24:N267,N268,M$24:M267,"I"),""))</f>
        <v/>
      </c>
      <c r="K268" s="29" t="n"/>
      <c r="L268">
        <f>IFERROR(MATCH(245,'マスタ'!$N$2:$N$246,0),"")</f>
        <v/>
      </c>
      <c r="M268">
        <f>IF(L268="","",INDEX('マスタ'!$A$2:$A$246,L268))</f>
        <v/>
      </c>
      <c r="N268">
        <f>IF(L268="","",INDEX('マスタ'!$B$2:$B$246,L268))</f>
        <v/>
      </c>
    </row>
    <row r="269">
      <c r="A269" s="29">
        <f>IF(M269="T",INDEX('設定'!$H$23:$H$34,N269),"")</f>
        <v/>
      </c>
      <c r="B269" s="29">
        <f>IF(OR(L269="",M269="B"),"",INDEX('マスタ'!$C$2:$C$246,L269))</f>
        <v/>
      </c>
      <c r="C269" s="29">
        <f>IF(M269="I",INDEX('マスタ'!$D$2:$D$246,L269)&amp;"","")</f>
        <v/>
      </c>
      <c r="D269" s="30">
        <f>IF(M269="I",INDEX('マスタ'!$M$2:$M$246,L269),"")</f>
        <v/>
      </c>
      <c r="F269" s="47">
        <f>IF(M269="I",INDEX('マスタ'!$F$2:$F$246,L269)&amp;"","")</f>
        <v/>
      </c>
      <c r="G269" s="48" t="n"/>
      <c r="I269" s="48">
        <f>IF(M269="I",IF(OR(G269="",D269=""),"",ROUND(D269*G269,0)),IF(M269="S",SUMIFS(I$24:I268,N$24:N268,N269,M$24:M268,"I"),""))</f>
        <v/>
      </c>
      <c r="K269" s="29" t="n"/>
      <c r="L269">
        <f>IFERROR(MATCH(246,'マスタ'!$N$2:$N$246,0),"")</f>
        <v/>
      </c>
      <c r="M269">
        <f>IF(L269="","",INDEX('マスタ'!$A$2:$A$246,L269))</f>
        <v/>
      </c>
      <c r="N269">
        <f>IF(L269="","",INDEX('マスタ'!$B$2:$B$246,L269))</f>
        <v/>
      </c>
    </row>
    <row r="270">
      <c r="A270" s="29">
        <f>IF(M270="T",INDEX('設定'!$H$23:$H$34,N270),"")</f>
        <v/>
      </c>
      <c r="B270" s="29">
        <f>IF(OR(L270="",M270="B"),"",INDEX('マスタ'!$C$2:$C$246,L270))</f>
        <v/>
      </c>
      <c r="C270" s="29">
        <f>IF(M270="I",INDEX('マスタ'!$D$2:$D$246,L270)&amp;"","")</f>
        <v/>
      </c>
      <c r="D270" s="30">
        <f>IF(M270="I",INDEX('マスタ'!$M$2:$M$246,L270),"")</f>
        <v/>
      </c>
      <c r="F270" s="47">
        <f>IF(M270="I",INDEX('マスタ'!$F$2:$F$246,L270)&amp;"","")</f>
        <v/>
      </c>
      <c r="G270" s="48" t="n"/>
      <c r="I270" s="48">
        <f>IF(M270="I",IF(OR(G270="",D270=""),"",ROUND(D270*G270,0)),IF(M270="S",SUMIFS(I$24:I269,N$24:N269,N270,M$24:M269,"I"),""))</f>
        <v/>
      </c>
      <c r="K270" s="29" t="n"/>
      <c r="L270">
        <f>IFERROR(MATCH(247,'マスタ'!$N$2:$N$246,0),"")</f>
        <v/>
      </c>
      <c r="M270">
        <f>IF(L270="","",INDEX('マスタ'!$A$2:$A$246,L270))</f>
        <v/>
      </c>
      <c r="N270">
        <f>IF(L270="","",INDEX('マスタ'!$B$2:$B$246,L270))</f>
        <v/>
      </c>
    </row>
    <row r="271">
      <c r="A271" s="29">
        <f>IF(M271="T",INDEX('設定'!$H$23:$H$34,N271),"")</f>
        <v/>
      </c>
      <c r="B271" s="29">
        <f>IF(OR(L271="",M271="B"),"",INDEX('マスタ'!$C$2:$C$246,L271))</f>
        <v/>
      </c>
      <c r="C271" s="29">
        <f>IF(M271="I",INDEX('マスタ'!$D$2:$D$246,L271)&amp;"","")</f>
        <v/>
      </c>
      <c r="D271" s="30">
        <f>IF(M271="I",INDEX('マスタ'!$M$2:$M$246,L271),"")</f>
        <v/>
      </c>
      <c r="F271" s="47">
        <f>IF(M271="I",INDEX('マスタ'!$F$2:$F$246,L271)&amp;"","")</f>
        <v/>
      </c>
      <c r="G271" s="48" t="n"/>
      <c r="I271" s="48">
        <f>IF(M271="I",IF(OR(G271="",D271=""),"",ROUND(D271*G271,0)),IF(M271="S",SUMIFS(I$24:I270,N$24:N270,N271,M$24:M270,"I"),""))</f>
        <v/>
      </c>
      <c r="K271" s="29" t="n"/>
      <c r="L271">
        <f>IFERROR(MATCH(248,'マスタ'!$N$2:$N$246,0),"")</f>
        <v/>
      </c>
      <c r="M271">
        <f>IF(L271="","",INDEX('マスタ'!$A$2:$A$246,L271))</f>
        <v/>
      </c>
      <c r="N271">
        <f>IF(L271="","",INDEX('マスタ'!$B$2:$B$246,L271))</f>
        <v/>
      </c>
    </row>
    <row r="272">
      <c r="A272" s="29">
        <f>IF(M272="T",INDEX('設定'!$H$23:$H$34,N272),"")</f>
        <v/>
      </c>
      <c r="B272" s="29">
        <f>IF(OR(L272="",M272="B"),"",INDEX('マスタ'!$C$2:$C$246,L272))</f>
        <v/>
      </c>
      <c r="C272" s="29">
        <f>IF(M272="I",INDEX('マスタ'!$D$2:$D$246,L272)&amp;"","")</f>
        <v/>
      </c>
      <c r="D272" s="30">
        <f>IF(M272="I",INDEX('マスタ'!$M$2:$M$246,L272),"")</f>
        <v/>
      </c>
      <c r="F272" s="47">
        <f>IF(M272="I",INDEX('マスタ'!$F$2:$F$246,L272)&amp;"","")</f>
        <v/>
      </c>
      <c r="G272" s="48" t="n"/>
      <c r="I272" s="48">
        <f>IF(M272="I",IF(OR(G272="",D272=""),"",ROUND(D272*G272,0)),IF(M272="S",SUMIFS(I$24:I271,N$24:N271,N272,M$24:M271,"I"),""))</f>
        <v/>
      </c>
      <c r="K272" s="29" t="n"/>
      <c r="L272">
        <f>IFERROR(MATCH(249,'マスタ'!$N$2:$N$246,0),"")</f>
        <v/>
      </c>
      <c r="M272">
        <f>IF(L272="","",INDEX('マスタ'!$A$2:$A$246,L272))</f>
        <v/>
      </c>
      <c r="N272">
        <f>IF(L272="","",INDEX('マスタ'!$B$2:$B$246,L272))</f>
        <v/>
      </c>
    </row>
    <row r="273">
      <c r="A273" s="29">
        <f>IF(M273="T",INDEX('設定'!$H$23:$H$34,N273),"")</f>
        <v/>
      </c>
      <c r="B273" s="29">
        <f>IF(OR(L273="",M273="B"),"",INDEX('マスタ'!$C$2:$C$246,L273))</f>
        <v/>
      </c>
      <c r="C273" s="29">
        <f>IF(M273="I",INDEX('マスタ'!$D$2:$D$246,L273)&amp;"","")</f>
        <v/>
      </c>
      <c r="D273" s="30">
        <f>IF(M273="I",INDEX('マスタ'!$M$2:$M$246,L273),"")</f>
        <v/>
      </c>
      <c r="F273" s="47">
        <f>IF(M273="I",INDEX('マスタ'!$F$2:$F$246,L273)&amp;"","")</f>
        <v/>
      </c>
      <c r="G273" s="48" t="n"/>
      <c r="I273" s="48">
        <f>IF(M273="I",IF(OR(G273="",D273=""),"",ROUND(D273*G273,0)),IF(M273="S",SUMIFS(I$24:I272,N$24:N272,N273,M$24:M272,"I"),""))</f>
        <v/>
      </c>
      <c r="K273" s="29" t="n"/>
      <c r="L273">
        <f>IFERROR(MATCH(250,'マスタ'!$N$2:$N$246,0),"")</f>
        <v/>
      </c>
      <c r="M273">
        <f>IF(L273="","",INDEX('マスタ'!$A$2:$A$246,L273))</f>
        <v/>
      </c>
      <c r="N273">
        <f>IF(L273="","",INDEX('マスタ'!$B$2:$B$246,L273))</f>
        <v/>
      </c>
    </row>
    <row r="274">
      <c r="A274" s="29">
        <f>IF(M274="T",INDEX('設定'!$H$23:$H$34,N274),"")</f>
        <v/>
      </c>
      <c r="B274" s="29">
        <f>IF(OR(L274="",M274="B"),"",INDEX('マスタ'!$C$2:$C$246,L274))</f>
        <v/>
      </c>
      <c r="C274" s="29">
        <f>IF(M274="I",INDEX('マスタ'!$D$2:$D$246,L274)&amp;"","")</f>
        <v/>
      </c>
      <c r="D274" s="30">
        <f>IF(M274="I",INDEX('マスタ'!$M$2:$M$246,L274),"")</f>
        <v/>
      </c>
      <c r="F274" s="47">
        <f>IF(M274="I",INDEX('マスタ'!$F$2:$F$246,L274)&amp;"","")</f>
        <v/>
      </c>
      <c r="G274" s="48" t="n"/>
      <c r="I274" s="48">
        <f>IF(M274="I",IF(OR(G274="",D274=""),"",ROUND(D274*G274,0)),IF(M274="S",SUMIFS(I$24:I273,N$24:N273,N274,M$24:M273,"I"),""))</f>
        <v/>
      </c>
      <c r="K274" s="29" t="n"/>
      <c r="L274">
        <f>IFERROR(MATCH(251,'マスタ'!$N$2:$N$246,0),"")</f>
        <v/>
      </c>
      <c r="M274">
        <f>IF(L274="","",INDEX('マスタ'!$A$2:$A$246,L274))</f>
        <v/>
      </c>
      <c r="N274">
        <f>IF(L274="","",INDEX('マスタ'!$B$2:$B$246,L274))</f>
        <v/>
      </c>
    </row>
  </sheetData>
  <mergeCells count="5">
    <mergeCell ref="G2:K2"/>
    <mergeCell ref="G1:K1"/>
    <mergeCell ref="D3:E3"/>
    <mergeCell ref="G3:H3"/>
    <mergeCell ref="I3:J3"/>
  </mergeCells>
  <conditionalFormatting sqref="A24:D274 F24:G274 I24:I274 K24:K274">
    <cfRule type="expression" priority="1" dxfId="2">
      <formula>$L24&lt;&gt;""</formula>
    </cfRule>
  </conditionalFormatting>
  <conditionalFormatting sqref="B24:C274">
    <cfRule type="expression" priority="2" dxfId="3">
      <formula>$L24&lt;&gt;""</formula>
    </cfRule>
  </conditionalFormatting>
  <conditionalFormatting sqref="E24:E274 H24:H274 J24:K274">
    <cfRule type="expression" priority="3" dxfId="4">
      <formula>$L24&lt;&gt;""</formula>
    </cfRule>
  </conditionalFormatting>
  <conditionalFormatting sqref="A24:K274">
    <cfRule type="expression" priority="4" dxfId="5">
      <formula>$M24="T"</formula>
    </cfRule>
    <cfRule type="expression" priority="5" dxfId="5">
      <formula>$M24="G"</formula>
    </cfRule>
    <cfRule type="expression" priority="6" dxfId="6">
      <formula>$M24="S"</formula>
    </cfRule>
  </conditionalFormatting>
  <conditionalFormatting sqref="G24:G274 K24:K274">
    <cfRule type="expression" priority="7" dxfId="7">
      <formula>$M24="I"</formula>
    </cfRule>
  </conditionalFormatting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999999"/>
    <outlinePr summaryBelow="1" summaryRight="1"/>
    <pageSetUpPr/>
  </sheetPr>
  <dimension ref="A1:N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0" customWidth="1" min="4" max="4"/>
    <col width="10" customWidth="1" min="5" max="5"/>
    <col width="8" customWidth="1" min="6" max="6"/>
    <col width="14" customWidth="1" min="7" max="7"/>
    <col width="8" customWidth="1" min="8" max="8"/>
    <col width="10" customWidth="1" min="9" max="9"/>
    <col width="12" customWidth="1" min="10" max="10"/>
    <col width="10" customWidth="1" min="11" max="11"/>
    <col width="8" customWidth="1" min="12" max="12"/>
    <col width="10" customWidth="1" min="13" max="13"/>
    <col width="8" customWidth="1" min="14" max="14"/>
  </cols>
  <sheetData>
    <row r="1">
      <c r="A1" s="3" t="inlineStr">
        <is>
          <t>行種別</t>
        </is>
      </c>
      <c r="B1" s="3" t="inlineStr">
        <is>
          <t>工事ID</t>
        </is>
      </c>
      <c r="C1" s="3" t="inlineStr">
        <is>
          <t>名称</t>
        </is>
      </c>
      <c r="D1" s="3" t="inlineStr">
        <is>
          <t>仕様</t>
        </is>
      </c>
      <c r="E1" s="3" t="inlineStr">
        <is>
          <t>既定数量</t>
        </is>
      </c>
      <c r="F1" s="3" t="inlineStr">
        <is>
          <t>単位</t>
        </is>
      </c>
      <c r="G1" s="3" t="inlineStr">
        <is>
          <t>基準キー</t>
        </is>
      </c>
      <c r="H1" s="3" t="inlineStr">
        <is>
          <t>係数</t>
        </is>
      </c>
      <c r="I1" s="3" t="inlineStr">
        <is>
          <t>最低階数</t>
        </is>
      </c>
      <c r="J1" s="3" t="inlineStr">
        <is>
          <t>構造限定</t>
        </is>
      </c>
      <c r="K1" s="3" t="inlineStr">
        <is>
          <t>採用工事</t>
        </is>
      </c>
      <c r="L1" s="3" t="inlineStr">
        <is>
          <t>表示</t>
        </is>
      </c>
      <c r="M1" s="3" t="inlineStr">
        <is>
          <t>数量</t>
        </is>
      </c>
      <c r="N1" s="3" t="inlineStr">
        <is>
          <t>連番</t>
        </is>
      </c>
    </row>
    <row r="2">
      <c r="A2" t="inlineStr">
        <is>
          <t>T</t>
        </is>
      </c>
      <c r="B2" t="n">
        <v>1</v>
      </c>
      <c r="C2" t="inlineStr">
        <is>
          <t>解体工事</t>
        </is>
      </c>
      <c r="K2">
        <f>INDEX('設定'!$G$23:$G$34,B2)</f>
        <v/>
      </c>
      <c r="L2">
        <f>IF(K2&lt;&gt;1,0,IF(OR(A2="T",A2="S",A2="B"),1,IF(AND(OR(I2="",I2&lt;='設定'!$K$2),OR(J2="",ISNUMBER(SEARCH('設定'!$K$3,J2)))),1,0)))</f>
        <v/>
      </c>
      <c r="M2">
        <f>IF(A2&lt;&gt;"I","",IF(G2="",E2,IFERROR(IF(VLOOKUP(G2,'設定'!$A$9:$B$18,2,FALSE)="",E2,ROUND(VLOOKUP(G2,'設定'!$A$9:$B$18,2,FALSE)*H2,2)),E2)))</f>
        <v/>
      </c>
      <c r="N2">
        <f>IF(L2=1,COUNTIF(L$2:L2,1),"")</f>
        <v/>
      </c>
    </row>
    <row r="3">
      <c r="A3" t="inlineStr">
        <is>
          <t>I</t>
        </is>
      </c>
      <c r="B3" t="n">
        <v>1</v>
      </c>
      <c r="C3" t="inlineStr">
        <is>
          <t>1階スケルトン解体処分</t>
        </is>
      </c>
      <c r="E3" t="n">
        <v>63.6</v>
      </c>
      <c r="F3" t="inlineStr">
        <is>
          <t>㎡</t>
        </is>
      </c>
      <c r="G3" t="inlineStr">
        <is>
          <t>floor1_area</t>
        </is>
      </c>
      <c r="H3" t="n">
        <v>1</v>
      </c>
      <c r="K3">
        <f>INDEX('設定'!$G$23:$G$34,B3)</f>
        <v/>
      </c>
      <c r="L3">
        <f>IF(K3&lt;&gt;1,0,IF(OR(A3="T",A3="S",A3="B"),1,IF(AND(OR(I3="",I3&lt;='設定'!$K$2),OR(J3="",ISNUMBER(SEARCH('設定'!$K$3,J3)))),1,0)))</f>
        <v/>
      </c>
      <c r="M3">
        <f>IF(A3&lt;&gt;"I","",IF(G3="",E3,IFERROR(IF(VLOOKUP(G3,'設定'!$A$9:$B$18,2,FALSE)="",E3,ROUND(VLOOKUP(G3,'設定'!$A$9:$B$18,2,FALSE)*H3,2)),E3)))</f>
        <v/>
      </c>
      <c r="N3">
        <f>IF(L3=1,COUNTIF(L$2:L3,1),"")</f>
        <v/>
      </c>
    </row>
    <row r="4">
      <c r="A4" t="inlineStr">
        <is>
          <t>I</t>
        </is>
      </c>
      <c r="B4" t="n">
        <v>1</v>
      </c>
      <c r="C4" t="inlineStr">
        <is>
          <t>2階スケルトン解体処分</t>
        </is>
      </c>
      <c r="E4" t="n">
        <v>33</v>
      </c>
      <c r="F4" t="inlineStr">
        <is>
          <t>㎡</t>
        </is>
      </c>
      <c r="G4" t="inlineStr">
        <is>
          <t>floor2_area</t>
        </is>
      </c>
      <c r="H4" t="n">
        <v>1</v>
      </c>
      <c r="I4" t="n">
        <v>2</v>
      </c>
      <c r="K4">
        <f>INDEX('設定'!$G$23:$G$34,B4)</f>
        <v/>
      </c>
      <c r="L4">
        <f>IF(K4&lt;&gt;1,0,IF(OR(A4="T",A4="S",A4="B"),1,IF(AND(OR(I4="",I4&lt;='設定'!$K$2),OR(J4="",ISNUMBER(SEARCH('設定'!$K$3,J4)))),1,0)))</f>
        <v/>
      </c>
      <c r="M4">
        <f>IF(A4&lt;&gt;"I","",IF(G4="",E4,IFERROR(IF(VLOOKUP(G4,'設定'!$A$9:$B$18,2,FALSE)="",E4,ROUND(VLOOKUP(G4,'設定'!$A$9:$B$18,2,FALSE)*H4,2)),E4)))</f>
        <v/>
      </c>
      <c r="N4">
        <f>IF(L4=1,COUNTIF(L$2:L4,1),"")</f>
        <v/>
      </c>
    </row>
    <row r="5">
      <c r="A5" t="inlineStr">
        <is>
          <t>I</t>
        </is>
      </c>
      <c r="B5" t="n">
        <v>1</v>
      </c>
      <c r="C5" t="inlineStr">
        <is>
          <t>3階スケルトン解体処分</t>
        </is>
      </c>
      <c r="E5" t="n">
        <v>1</v>
      </c>
      <c r="F5" t="inlineStr">
        <is>
          <t>㎡</t>
        </is>
      </c>
      <c r="G5" t="inlineStr">
        <is>
          <t>floor3_area</t>
        </is>
      </c>
      <c r="H5" t="n">
        <v>1</v>
      </c>
      <c r="I5" t="n">
        <v>3</v>
      </c>
      <c r="K5">
        <f>INDEX('設定'!$G$23:$G$34,B5)</f>
        <v/>
      </c>
      <c r="L5">
        <f>IF(K5&lt;&gt;1,0,IF(OR(A5="T",A5="S",A5="B"),1,IF(AND(OR(I5="",I5&lt;='設定'!$K$2),OR(J5="",ISNUMBER(SEARCH('設定'!$K$3,J5)))),1,0)))</f>
        <v/>
      </c>
      <c r="M5">
        <f>IF(A5&lt;&gt;"I","",IF(G5="",E5,IFERROR(IF(VLOOKUP(G5,'設定'!$A$9:$B$18,2,FALSE)="",E5,ROUND(VLOOKUP(G5,'設定'!$A$9:$B$18,2,FALSE)*H5,2)),E5)))</f>
        <v/>
      </c>
      <c r="N5">
        <f>IF(L5=1,COUNTIF(L$2:L5,1),"")</f>
        <v/>
      </c>
    </row>
    <row r="6">
      <c r="A6" t="inlineStr">
        <is>
          <t>I</t>
        </is>
      </c>
      <c r="B6" t="n">
        <v>1</v>
      </c>
      <c r="C6" t="inlineStr">
        <is>
          <t>浴室解体処分</t>
        </is>
      </c>
      <c r="E6" t="n">
        <v>1</v>
      </c>
      <c r="F6" t="inlineStr">
        <is>
          <t>式</t>
        </is>
      </c>
      <c r="K6">
        <f>INDEX('設定'!$G$23:$G$34,B6)</f>
        <v/>
      </c>
      <c r="L6">
        <f>IF(K6&lt;&gt;1,0,IF(OR(A6="T",A6="S",A6="B"),1,IF(AND(OR(I6="",I6&lt;='設定'!$K$2),OR(J6="",ISNUMBER(SEARCH('設定'!$K$3,J6)))),1,0)))</f>
        <v/>
      </c>
      <c r="M6">
        <f>IF(A6&lt;&gt;"I","",IF(G6="",E6,IFERROR(IF(VLOOKUP(G6,'設定'!$A$9:$B$18,2,FALSE)="",E6,ROUND(VLOOKUP(G6,'設定'!$A$9:$B$18,2,FALSE)*H6,2)),E6)))</f>
        <v/>
      </c>
      <c r="N6">
        <f>IF(L6=1,COUNTIF(L$2:L6,1),"")</f>
        <v/>
      </c>
    </row>
    <row r="7">
      <c r="A7" t="inlineStr">
        <is>
          <t>I</t>
        </is>
      </c>
      <c r="B7" t="n">
        <v>1</v>
      </c>
      <c r="C7" t="inlineStr">
        <is>
          <t>1階和室、脱衣室等解体処分</t>
        </is>
      </c>
      <c r="E7" t="n">
        <v>26</v>
      </c>
      <c r="F7" t="inlineStr">
        <is>
          <t>㎡</t>
        </is>
      </c>
      <c r="K7">
        <f>INDEX('設定'!$G$23:$G$34,B7)</f>
        <v/>
      </c>
      <c r="L7">
        <f>IF(K7&lt;&gt;1,0,IF(OR(A7="T",A7="S",A7="B"),1,IF(AND(OR(I7="",I7&lt;='設定'!$K$2),OR(J7="",ISNUMBER(SEARCH('設定'!$K$3,J7)))),1,0)))</f>
        <v/>
      </c>
      <c r="M7">
        <f>IF(A7&lt;&gt;"I","",IF(G7="",E7,IFERROR(IF(VLOOKUP(G7,'設定'!$A$9:$B$18,2,FALSE)="",E7,ROUND(VLOOKUP(G7,'設定'!$A$9:$B$18,2,FALSE)*H7,2)),E7)))</f>
        <v/>
      </c>
      <c r="N7">
        <f>IF(L7=1,COUNTIF(L$2:L7,1),"")</f>
        <v/>
      </c>
    </row>
    <row r="8">
      <c r="A8" t="inlineStr">
        <is>
          <t>I</t>
        </is>
      </c>
      <c r="B8" t="n">
        <v>1</v>
      </c>
      <c r="C8" t="inlineStr">
        <is>
          <t>トイレ解体処分</t>
        </is>
      </c>
      <c r="E8" t="n">
        <v>2</v>
      </c>
      <c r="F8" t="inlineStr">
        <is>
          <t>ヶ処</t>
        </is>
      </c>
      <c r="G8" t="inlineStr">
        <is>
          <t>toilet_count</t>
        </is>
      </c>
      <c r="H8" t="n">
        <v>1</v>
      </c>
      <c r="K8">
        <f>INDEX('設定'!$G$23:$G$34,B8)</f>
        <v/>
      </c>
      <c r="L8">
        <f>IF(K8&lt;&gt;1,0,IF(OR(A8="T",A8="S",A8="B"),1,IF(AND(OR(I8="",I8&lt;='設定'!$K$2),OR(J8="",ISNUMBER(SEARCH('設定'!$K$3,J8)))),1,0)))</f>
        <v/>
      </c>
      <c r="M8">
        <f>IF(A8&lt;&gt;"I","",IF(G8="",E8,IFERROR(IF(VLOOKUP(G8,'設定'!$A$9:$B$18,2,FALSE)="",E8,ROUND(VLOOKUP(G8,'設定'!$A$9:$B$18,2,FALSE)*H8,2)),E8)))</f>
        <v/>
      </c>
      <c r="N8">
        <f>IF(L8=1,COUNTIF(L$2:L8,1),"")</f>
        <v/>
      </c>
    </row>
    <row r="9">
      <c r="A9" t="inlineStr">
        <is>
          <t>I</t>
        </is>
      </c>
      <c r="B9" t="n">
        <v>1</v>
      </c>
      <c r="C9" t="inlineStr">
        <is>
          <t>物置屋根解体処分</t>
        </is>
      </c>
      <c r="E9" t="n">
        <v>1</v>
      </c>
      <c r="F9" t="inlineStr">
        <is>
          <t>式</t>
        </is>
      </c>
      <c r="K9">
        <f>INDEX('設定'!$G$23:$G$34,B9)</f>
        <v/>
      </c>
      <c r="L9">
        <f>IF(K9&lt;&gt;1,0,IF(OR(A9="T",A9="S",A9="B"),1,IF(AND(OR(I9="",I9&lt;='設定'!$K$2),OR(J9="",ISNUMBER(SEARCH('設定'!$K$3,J9)))),1,0)))</f>
        <v/>
      </c>
      <c r="M9">
        <f>IF(A9&lt;&gt;"I","",IF(G9="",E9,IFERROR(IF(VLOOKUP(G9,'設定'!$A$9:$B$18,2,FALSE)="",E9,ROUND(VLOOKUP(G9,'設定'!$A$9:$B$18,2,FALSE)*H9,2)),E9)))</f>
        <v/>
      </c>
      <c r="N9">
        <f>IF(L9=1,COUNTIF(L$2:L9,1),"")</f>
        <v/>
      </c>
    </row>
    <row r="10">
      <c r="A10" t="inlineStr">
        <is>
          <t>I</t>
        </is>
      </c>
      <c r="B10" t="n">
        <v>1</v>
      </c>
      <c r="C10" t="inlineStr">
        <is>
          <t>小屋根解体処分</t>
        </is>
      </c>
      <c r="D10" t="inlineStr">
        <is>
          <t>アルミバルコニー共</t>
        </is>
      </c>
      <c r="E10" t="n">
        <v>1</v>
      </c>
      <c r="F10" t="inlineStr">
        <is>
          <t>式</t>
        </is>
      </c>
      <c r="K10">
        <f>INDEX('設定'!$G$23:$G$34,B10)</f>
        <v/>
      </c>
      <c r="L10">
        <f>IF(K10&lt;&gt;1,0,IF(OR(A10="T",A10="S",A10="B"),1,IF(AND(OR(I10="",I10&lt;='設定'!$K$2),OR(J10="",ISNUMBER(SEARCH('設定'!$K$3,J10)))),1,0)))</f>
        <v/>
      </c>
      <c r="M10">
        <f>IF(A10&lt;&gt;"I","",IF(G10="",E10,IFERROR(IF(VLOOKUP(G10,'設定'!$A$9:$B$18,2,FALSE)="",E10,ROUND(VLOOKUP(G10,'設定'!$A$9:$B$18,2,FALSE)*H10,2)),E10)))</f>
        <v/>
      </c>
      <c r="N10">
        <f>IF(L10=1,COUNTIF(L$2:L10,1),"")</f>
        <v/>
      </c>
    </row>
    <row r="11">
      <c r="A11" t="inlineStr">
        <is>
          <t>I</t>
        </is>
      </c>
      <c r="B11" t="n">
        <v>1</v>
      </c>
      <c r="C11" t="inlineStr">
        <is>
          <t>コンクリート斫り・コア抜き</t>
        </is>
      </c>
      <c r="E11" t="n">
        <v>1</v>
      </c>
      <c r="F11" t="inlineStr">
        <is>
          <t>式</t>
        </is>
      </c>
      <c r="J11" t="inlineStr">
        <is>
          <t>rc</t>
        </is>
      </c>
      <c r="K11">
        <f>INDEX('設定'!$G$23:$G$34,B11)</f>
        <v/>
      </c>
      <c r="L11">
        <f>IF(K11&lt;&gt;1,0,IF(OR(A11="T",A11="S",A11="B"),1,IF(AND(OR(I11="",I11&lt;='設定'!$K$2),OR(J11="",ISNUMBER(SEARCH('設定'!$K$3,J11)))),1,0)))</f>
        <v/>
      </c>
      <c r="M11">
        <f>IF(A11&lt;&gt;"I","",IF(G11="",E11,IFERROR(IF(VLOOKUP(G11,'設定'!$A$9:$B$18,2,FALSE)="",E11,ROUND(VLOOKUP(G11,'設定'!$A$9:$B$18,2,FALSE)*H11,2)),E11)))</f>
        <v/>
      </c>
      <c r="N11">
        <f>IF(L11=1,COUNTIF(L$2:L11,1),"")</f>
        <v/>
      </c>
    </row>
    <row r="12">
      <c r="A12" t="inlineStr">
        <is>
          <t>S</t>
        </is>
      </c>
      <c r="B12" t="n">
        <v>1</v>
      </c>
      <c r="C12" t="inlineStr">
        <is>
          <t>小　計</t>
        </is>
      </c>
      <c r="K12">
        <f>INDEX('設定'!$G$23:$G$34,B12)</f>
        <v/>
      </c>
      <c r="L12">
        <f>IF(K12&lt;&gt;1,0,IF(OR(A12="T",A12="S",A12="B"),1,IF(AND(OR(I12="",I12&lt;='設定'!$K$2),OR(J12="",ISNUMBER(SEARCH('設定'!$K$3,J12)))),1,0)))</f>
        <v/>
      </c>
      <c r="M12">
        <f>IF(A12&lt;&gt;"I","",IF(G12="",E12,IFERROR(IF(VLOOKUP(G12,'設定'!$A$9:$B$18,2,FALSE)="",E12,ROUND(VLOOKUP(G12,'設定'!$A$9:$B$18,2,FALSE)*H12,2)),E12)))</f>
        <v/>
      </c>
      <c r="N12">
        <f>IF(L12=1,COUNTIF(L$2:L12,1),"")</f>
        <v/>
      </c>
    </row>
    <row r="13">
      <c r="A13" t="inlineStr">
        <is>
          <t>B</t>
        </is>
      </c>
      <c r="B13" t="n">
        <v>1</v>
      </c>
      <c r="K13">
        <f>INDEX('設定'!$G$23:$G$34,B13)</f>
        <v/>
      </c>
      <c r="L13">
        <f>IF(K13&lt;&gt;1,0,IF(OR(A13="T",A13="S",A13="B"),1,IF(AND(OR(I13="",I13&lt;='設定'!$K$2),OR(J13="",ISNUMBER(SEARCH('設定'!$K$3,J13)))),1,0)))</f>
        <v/>
      </c>
      <c r="M13">
        <f>IF(A13&lt;&gt;"I","",IF(G13="",E13,IFERROR(IF(VLOOKUP(G13,'設定'!$A$9:$B$18,2,FALSE)="",E13,ROUND(VLOOKUP(G13,'設定'!$A$9:$B$18,2,FALSE)*H13,2)),E13)))</f>
        <v/>
      </c>
      <c r="N13">
        <f>IF(L13=1,COUNTIF(L$2:L13,1),"")</f>
        <v/>
      </c>
    </row>
    <row r="14">
      <c r="A14" t="inlineStr">
        <is>
          <t>T</t>
        </is>
      </c>
      <c r="B14" t="n">
        <v>2</v>
      </c>
      <c r="C14" t="inlineStr">
        <is>
          <t>基礎工事</t>
        </is>
      </c>
      <c r="K14">
        <f>INDEX('設定'!$G$23:$G$34,B14)</f>
        <v/>
      </c>
      <c r="L14">
        <f>IF(K14&lt;&gt;1,0,IF(OR(A14="T",A14="S",A14="B"),1,IF(AND(OR(I14="",I14&lt;='設定'!$K$2),OR(J14="",ISNUMBER(SEARCH('設定'!$K$3,J14)))),1,0)))</f>
        <v/>
      </c>
      <c r="M14">
        <f>IF(A14&lt;&gt;"I","",IF(G14="",E14,IFERROR(IF(VLOOKUP(G14,'設定'!$A$9:$B$18,2,FALSE)="",E14,ROUND(VLOOKUP(G14,'設定'!$A$9:$B$18,2,FALSE)*H14,2)),E14)))</f>
        <v/>
      </c>
      <c r="N14">
        <f>IF(L14=1,COUNTIF(L$2:L14,1),"")</f>
        <v/>
      </c>
    </row>
    <row r="15">
      <c r="A15" t="inlineStr">
        <is>
          <t>I</t>
        </is>
      </c>
      <c r="B15" t="n">
        <v>2</v>
      </c>
      <c r="C15" t="inlineStr">
        <is>
          <t>玄関土間・ポーチ</t>
        </is>
      </c>
      <c r="D15" t="inlineStr">
        <is>
          <t>300角磁器質タイル or 洗出し仕上げ</t>
        </is>
      </c>
      <c r="E15" t="n">
        <v>6.6</v>
      </c>
      <c r="F15" t="inlineStr">
        <is>
          <t>㎡</t>
        </is>
      </c>
      <c r="K15">
        <f>INDEX('設定'!$G$23:$G$34,B15)</f>
        <v/>
      </c>
      <c r="L15">
        <f>IF(K15&lt;&gt;1,0,IF(OR(A15="T",A15="S",A15="B"),1,IF(AND(OR(I15="",I15&lt;='設定'!$K$2),OR(J15="",ISNUMBER(SEARCH('設定'!$K$3,J15)))),1,0)))</f>
        <v/>
      </c>
      <c r="M15">
        <f>IF(A15&lt;&gt;"I","",IF(G15="",E15,IFERROR(IF(VLOOKUP(G15,'設定'!$A$9:$B$18,2,FALSE)="",E15,ROUND(VLOOKUP(G15,'設定'!$A$9:$B$18,2,FALSE)*H15,2)),E15)))</f>
        <v/>
      </c>
      <c r="N15">
        <f>IF(L15=1,COUNTIF(L$2:L15,1),"")</f>
        <v/>
      </c>
    </row>
    <row r="16">
      <c r="A16" t="inlineStr">
        <is>
          <t>I</t>
        </is>
      </c>
      <c r="B16" t="n">
        <v>2</v>
      </c>
      <c r="C16" t="inlineStr">
        <is>
          <t>ポーチ立上り部</t>
        </is>
      </c>
      <c r="D16" t="inlineStr">
        <is>
          <t>〃</t>
        </is>
      </c>
      <c r="E16" t="n">
        <v>12.2</v>
      </c>
      <c r="F16" t="inlineStr">
        <is>
          <t>ｍ</t>
        </is>
      </c>
      <c r="K16">
        <f>INDEX('設定'!$G$23:$G$34,B16)</f>
        <v/>
      </c>
      <c r="L16">
        <f>IF(K16&lt;&gt;1,0,IF(OR(A16="T",A16="S",A16="B"),1,IF(AND(OR(I16="",I16&lt;='設定'!$K$2),OR(J16="",ISNUMBER(SEARCH('設定'!$K$3,J16)))),1,0)))</f>
        <v/>
      </c>
      <c r="M16">
        <f>IF(A16&lt;&gt;"I","",IF(G16="",E16,IFERROR(IF(VLOOKUP(G16,'設定'!$A$9:$B$18,2,FALSE)="",E16,ROUND(VLOOKUP(G16,'設定'!$A$9:$B$18,2,FALSE)*H16,2)),E16)))</f>
        <v/>
      </c>
      <c r="N16">
        <f>IF(L16=1,COUNTIF(L$2:L16,1),"")</f>
        <v/>
      </c>
    </row>
    <row r="17">
      <c r="A17" t="inlineStr">
        <is>
          <t>I</t>
        </is>
      </c>
      <c r="B17" t="n">
        <v>2</v>
      </c>
      <c r="C17" t="inlineStr">
        <is>
          <t>サッシモルタル詰め</t>
        </is>
      </c>
      <c r="E17" t="n">
        <v>1</v>
      </c>
      <c r="F17" t="inlineStr">
        <is>
          <t>式</t>
        </is>
      </c>
      <c r="K17">
        <f>INDEX('設定'!$G$23:$G$34,B17)</f>
        <v/>
      </c>
      <c r="L17">
        <f>IF(K17&lt;&gt;1,0,IF(OR(A17="T",A17="S",A17="B"),1,IF(AND(OR(I17="",I17&lt;='設定'!$K$2),OR(J17="",ISNUMBER(SEARCH('設定'!$K$3,J17)))),1,0)))</f>
        <v/>
      </c>
      <c r="M17">
        <f>IF(A17&lt;&gt;"I","",IF(G17="",E17,IFERROR(IF(VLOOKUP(G17,'設定'!$A$9:$B$18,2,FALSE)="",E17,ROUND(VLOOKUP(G17,'設定'!$A$9:$B$18,2,FALSE)*H17,2)),E17)))</f>
        <v/>
      </c>
      <c r="N17">
        <f>IF(L17=1,COUNTIF(L$2:L17,1),"")</f>
        <v/>
      </c>
    </row>
    <row r="18">
      <c r="A18" t="inlineStr">
        <is>
          <t>I</t>
        </is>
      </c>
      <c r="B18" t="n">
        <v>2</v>
      </c>
      <c r="C18" t="inlineStr">
        <is>
          <t>浴室土間コンクリート</t>
        </is>
      </c>
      <c r="D18" t="inlineStr">
        <is>
          <t>洗面室土間共</t>
        </is>
      </c>
      <c r="E18" t="n">
        <v>1</v>
      </c>
      <c r="F18" t="inlineStr">
        <is>
          <t>式</t>
        </is>
      </c>
      <c r="K18">
        <f>INDEX('設定'!$G$23:$G$34,B18)</f>
        <v/>
      </c>
      <c r="L18">
        <f>IF(K18&lt;&gt;1,0,IF(OR(A18="T",A18="S",A18="B"),1,IF(AND(OR(I18="",I18&lt;='設定'!$K$2),OR(J18="",ISNUMBER(SEARCH('設定'!$K$3,J18)))),1,0)))</f>
        <v/>
      </c>
      <c r="M18">
        <f>IF(A18&lt;&gt;"I","",IF(G18="",E18,IFERROR(IF(VLOOKUP(G18,'設定'!$A$9:$B$18,2,FALSE)="",E18,ROUND(VLOOKUP(G18,'設定'!$A$9:$B$18,2,FALSE)*H18,2)),E18)))</f>
        <v/>
      </c>
      <c r="N18">
        <f>IF(L18=1,COUNTIF(L$2:L18,1),"")</f>
        <v/>
      </c>
    </row>
    <row r="19">
      <c r="A19" t="inlineStr">
        <is>
          <t>I</t>
        </is>
      </c>
      <c r="B19" t="n">
        <v>2</v>
      </c>
      <c r="C19" t="inlineStr">
        <is>
          <t>勝手口階段</t>
        </is>
      </c>
      <c r="E19" t="n">
        <v>1</v>
      </c>
      <c r="F19" t="inlineStr">
        <is>
          <t>式</t>
        </is>
      </c>
      <c r="K19">
        <f>INDEX('設定'!$G$23:$G$34,B19)</f>
        <v/>
      </c>
      <c r="L19">
        <f>IF(K19&lt;&gt;1,0,IF(OR(A19="T",A19="S",A19="B"),1,IF(AND(OR(I19="",I19&lt;='設定'!$K$2),OR(J19="",ISNUMBER(SEARCH('設定'!$K$3,J19)))),1,0)))</f>
        <v/>
      </c>
      <c r="M19">
        <f>IF(A19&lt;&gt;"I","",IF(G19="",E19,IFERROR(IF(VLOOKUP(G19,'設定'!$A$9:$B$18,2,FALSE)="",E19,ROUND(VLOOKUP(G19,'設定'!$A$9:$B$18,2,FALSE)*H19,2)),E19)))</f>
        <v/>
      </c>
      <c r="N19">
        <f>IF(L19=1,COUNTIF(L$2:L19,1),"")</f>
        <v/>
      </c>
    </row>
    <row r="20">
      <c r="A20" t="inlineStr">
        <is>
          <t>S</t>
        </is>
      </c>
      <c r="B20" t="n">
        <v>2</v>
      </c>
      <c r="C20" t="inlineStr">
        <is>
          <t>小　計</t>
        </is>
      </c>
      <c r="K20">
        <f>INDEX('設定'!$G$23:$G$34,B20)</f>
        <v/>
      </c>
      <c r="L20">
        <f>IF(K20&lt;&gt;1,0,IF(OR(A20="T",A20="S",A20="B"),1,IF(AND(OR(I20="",I20&lt;='設定'!$K$2),OR(J20="",ISNUMBER(SEARCH('設定'!$K$3,J20)))),1,0)))</f>
        <v/>
      </c>
      <c r="M20">
        <f>IF(A20&lt;&gt;"I","",IF(G20="",E20,IFERROR(IF(VLOOKUP(G20,'設定'!$A$9:$B$18,2,FALSE)="",E20,ROUND(VLOOKUP(G20,'設定'!$A$9:$B$18,2,FALSE)*H20,2)),E20)))</f>
        <v/>
      </c>
      <c r="N20">
        <f>IF(L20=1,COUNTIF(L$2:L20,1),"")</f>
        <v/>
      </c>
    </row>
    <row r="21">
      <c r="A21" t="inlineStr">
        <is>
          <t>B</t>
        </is>
      </c>
      <c r="B21" t="n">
        <v>2</v>
      </c>
      <c r="K21">
        <f>INDEX('設定'!$G$23:$G$34,B21)</f>
        <v/>
      </c>
      <c r="L21">
        <f>IF(K21&lt;&gt;1,0,IF(OR(A21="T",A21="S",A21="B"),1,IF(AND(OR(I21="",I21&lt;='設定'!$K$2),OR(J21="",ISNUMBER(SEARCH('設定'!$K$3,J21)))),1,0)))</f>
        <v/>
      </c>
      <c r="M21">
        <f>IF(A21&lt;&gt;"I","",IF(G21="",E21,IFERROR(IF(VLOOKUP(G21,'設定'!$A$9:$B$18,2,FALSE)="",E21,ROUND(VLOOKUP(G21,'設定'!$A$9:$B$18,2,FALSE)*H21,2)),E21)))</f>
        <v/>
      </c>
      <c r="N21">
        <f>IF(L21=1,COUNTIF(L$2:L21,1),"")</f>
        <v/>
      </c>
    </row>
    <row r="22">
      <c r="A22" t="inlineStr">
        <is>
          <t>T</t>
        </is>
      </c>
      <c r="B22" t="n">
        <v>3</v>
      </c>
      <c r="C22" t="inlineStr">
        <is>
          <t>木工事</t>
        </is>
      </c>
      <c r="K22">
        <f>INDEX('設定'!$G$23:$G$34,B22)</f>
        <v/>
      </c>
      <c r="L22">
        <f>IF(K22&lt;&gt;1,0,IF(OR(A22="T",A22="S",A22="B"),1,IF(AND(OR(I22="",I22&lt;='設定'!$K$2),OR(J22="",ISNUMBER(SEARCH('設定'!$K$3,J22)))),1,0)))</f>
        <v/>
      </c>
      <c r="M22">
        <f>IF(A22&lt;&gt;"I","",IF(G22="",E22,IFERROR(IF(VLOOKUP(G22,'設定'!$A$9:$B$18,2,FALSE)="",E22,ROUND(VLOOKUP(G22,'設定'!$A$9:$B$18,2,FALSE)*H22,2)),E22)))</f>
        <v/>
      </c>
      <c r="N22">
        <f>IF(L22=1,COUNTIF(L$2:L22,1),"")</f>
        <v/>
      </c>
    </row>
    <row r="23">
      <c r="A23" t="inlineStr">
        <is>
          <t>I</t>
        </is>
      </c>
      <c r="B23" t="n">
        <v>3</v>
      </c>
      <c r="C23" t="inlineStr">
        <is>
          <t>材木費</t>
        </is>
      </c>
      <c r="E23" t="n">
        <v>37</v>
      </c>
      <c r="F23" t="inlineStr">
        <is>
          <t>坪</t>
        </is>
      </c>
      <c r="G23" t="inlineStr">
        <is>
          <t>tsubo</t>
        </is>
      </c>
      <c r="H23" t="n">
        <v>1</v>
      </c>
      <c r="J23" t="inlineStr">
        <is>
          <t>wood</t>
        </is>
      </c>
      <c r="K23">
        <f>INDEX('設定'!$G$23:$G$34,B23)</f>
        <v/>
      </c>
      <c r="L23">
        <f>IF(K23&lt;&gt;1,0,IF(OR(A23="T",A23="S",A23="B"),1,IF(AND(OR(I23="",I23&lt;='設定'!$K$2),OR(J23="",ISNUMBER(SEARCH('設定'!$K$3,J23)))),1,0)))</f>
        <v/>
      </c>
      <c r="M23">
        <f>IF(A23&lt;&gt;"I","",IF(G23="",E23,IFERROR(IF(VLOOKUP(G23,'設定'!$A$9:$B$18,2,FALSE)="",E23,ROUND(VLOOKUP(G23,'設定'!$A$9:$B$18,2,FALSE)*H23,2)),E23)))</f>
        <v/>
      </c>
      <c r="N23">
        <f>IF(L23=1,COUNTIF(L$2:L23,1),"")</f>
        <v/>
      </c>
    </row>
    <row r="24">
      <c r="A24" t="inlineStr">
        <is>
          <t>I</t>
        </is>
      </c>
      <c r="B24" t="n">
        <v>3</v>
      </c>
      <c r="C24" t="inlineStr">
        <is>
          <t>木造作費</t>
        </is>
      </c>
      <c r="E24" t="n">
        <v>37</v>
      </c>
      <c r="F24" t="inlineStr">
        <is>
          <t>坪</t>
        </is>
      </c>
      <c r="G24" t="inlineStr">
        <is>
          <t>tsubo</t>
        </is>
      </c>
      <c r="H24" t="n">
        <v>1</v>
      </c>
      <c r="J24" t="inlineStr">
        <is>
          <t>wood</t>
        </is>
      </c>
      <c r="K24">
        <f>INDEX('設定'!$G$23:$G$34,B24)</f>
        <v/>
      </c>
      <c r="L24">
        <f>IF(K24&lt;&gt;1,0,IF(OR(A24="T",A24="S",A24="B"),1,IF(AND(OR(I24="",I24&lt;='設定'!$K$2),OR(J24="",ISNUMBER(SEARCH('設定'!$K$3,J24)))),1,0)))</f>
        <v/>
      </c>
      <c r="M24">
        <f>IF(A24&lt;&gt;"I","",IF(G24="",E24,IFERROR(IF(VLOOKUP(G24,'設定'!$A$9:$B$18,2,FALSE)="",E24,ROUND(VLOOKUP(G24,'設定'!$A$9:$B$18,2,FALSE)*H24,2)),E24)))</f>
        <v/>
      </c>
      <c r="N24">
        <f>IF(L24=1,COUNTIF(L$2:L24,1),"")</f>
        <v/>
      </c>
    </row>
    <row r="25">
      <c r="A25" t="inlineStr">
        <is>
          <t>I</t>
        </is>
      </c>
      <c r="B25" t="n">
        <v>3</v>
      </c>
      <c r="C25" t="inlineStr">
        <is>
          <t>金物費</t>
        </is>
      </c>
      <c r="E25" t="n">
        <v>37</v>
      </c>
      <c r="F25" t="inlineStr">
        <is>
          <t>坪</t>
        </is>
      </c>
      <c r="G25" t="inlineStr">
        <is>
          <t>tsubo</t>
        </is>
      </c>
      <c r="H25" t="n">
        <v>1</v>
      </c>
      <c r="J25" t="inlineStr">
        <is>
          <t>wood</t>
        </is>
      </c>
      <c r="K25">
        <f>INDEX('設定'!$G$23:$G$34,B25)</f>
        <v/>
      </c>
      <c r="L25">
        <f>IF(K25&lt;&gt;1,0,IF(OR(A25="T",A25="S",A25="B"),1,IF(AND(OR(I25="",I25&lt;='設定'!$K$2),OR(J25="",ISNUMBER(SEARCH('設定'!$K$3,J25)))),1,0)))</f>
        <v/>
      </c>
      <c r="M25">
        <f>IF(A25&lt;&gt;"I","",IF(G25="",E25,IFERROR(IF(VLOOKUP(G25,'設定'!$A$9:$B$18,2,FALSE)="",E25,ROUND(VLOOKUP(G25,'設定'!$A$9:$B$18,2,FALSE)*H25,2)),E25)))</f>
        <v/>
      </c>
      <c r="N25">
        <f>IF(L25=1,COUNTIF(L$2:L25,1),"")</f>
        <v/>
      </c>
    </row>
    <row r="26">
      <c r="A26" t="inlineStr">
        <is>
          <t>I</t>
        </is>
      </c>
      <c r="B26" t="n">
        <v>3</v>
      </c>
      <c r="C26" t="inlineStr">
        <is>
          <t>防蟻処理</t>
        </is>
      </c>
      <c r="D26" t="inlineStr">
        <is>
          <t>ホウ酸散布</t>
        </is>
      </c>
      <c r="E26" t="n">
        <v>122</v>
      </c>
      <c r="F26" t="inlineStr">
        <is>
          <t>㎡</t>
        </is>
      </c>
      <c r="G26" t="inlineStr">
        <is>
          <t>total_area</t>
        </is>
      </c>
      <c r="H26" t="n">
        <v>1</v>
      </c>
      <c r="J26" t="inlineStr">
        <is>
          <t>wood</t>
        </is>
      </c>
      <c r="K26">
        <f>INDEX('設定'!$G$23:$G$34,B26)</f>
        <v/>
      </c>
      <c r="L26">
        <f>IF(K26&lt;&gt;1,0,IF(OR(A26="T",A26="S",A26="B"),1,IF(AND(OR(I26="",I26&lt;='設定'!$K$2),OR(J26="",ISNUMBER(SEARCH('設定'!$K$3,J26)))),1,0)))</f>
        <v/>
      </c>
      <c r="M26">
        <f>IF(A26&lt;&gt;"I","",IF(G26="",E26,IFERROR(IF(VLOOKUP(G26,'設定'!$A$9:$B$18,2,FALSE)="",E26,ROUND(VLOOKUP(G26,'設定'!$A$9:$B$18,2,FALSE)*H26,2)),E26)))</f>
        <v/>
      </c>
      <c r="N26">
        <f>IF(L26=1,COUNTIF(L$2:L26,1),"")</f>
        <v/>
      </c>
    </row>
    <row r="27">
      <c r="A27" t="inlineStr">
        <is>
          <t>I</t>
        </is>
      </c>
      <c r="B27" t="n">
        <v>3</v>
      </c>
      <c r="C27" t="inlineStr">
        <is>
          <t>軽量鉄骨下地（壁・天井）</t>
        </is>
      </c>
      <c r="E27" t="n">
        <v>1</v>
      </c>
      <c r="F27" t="inlineStr">
        <is>
          <t>㎡</t>
        </is>
      </c>
      <c r="G27" t="inlineStr">
        <is>
          <t>total_area</t>
        </is>
      </c>
      <c r="H27" t="n">
        <v>1</v>
      </c>
      <c r="J27" t="inlineStr">
        <is>
          <t>steel,rc</t>
        </is>
      </c>
      <c r="K27">
        <f>INDEX('設定'!$G$23:$G$34,B27)</f>
        <v/>
      </c>
      <c r="L27">
        <f>IF(K27&lt;&gt;1,0,IF(OR(A27="T",A27="S",A27="B"),1,IF(AND(OR(I27="",I27&lt;='設定'!$K$2),OR(J27="",ISNUMBER(SEARCH('設定'!$K$3,J27)))),1,0)))</f>
        <v/>
      </c>
      <c r="M27">
        <f>IF(A27&lt;&gt;"I","",IF(G27="",E27,IFERROR(IF(VLOOKUP(G27,'設定'!$A$9:$B$18,2,FALSE)="",E27,ROUND(VLOOKUP(G27,'設定'!$A$9:$B$18,2,FALSE)*H27,2)),E27)))</f>
        <v/>
      </c>
      <c r="N27">
        <f>IF(L27=1,COUNTIF(L$2:L27,1),"")</f>
        <v/>
      </c>
    </row>
    <row r="28">
      <c r="A28" t="inlineStr">
        <is>
          <t>S</t>
        </is>
      </c>
      <c r="B28" t="n">
        <v>3</v>
      </c>
      <c r="C28" t="inlineStr">
        <is>
          <t>小　計</t>
        </is>
      </c>
      <c r="K28">
        <f>INDEX('設定'!$G$23:$G$34,B28)</f>
        <v/>
      </c>
      <c r="L28">
        <f>IF(K28&lt;&gt;1,0,IF(OR(A28="T",A28="S",A28="B"),1,IF(AND(OR(I28="",I28&lt;='設定'!$K$2),OR(J28="",ISNUMBER(SEARCH('設定'!$K$3,J28)))),1,0)))</f>
        <v/>
      </c>
      <c r="M28">
        <f>IF(A28&lt;&gt;"I","",IF(G28="",E28,IFERROR(IF(VLOOKUP(G28,'設定'!$A$9:$B$18,2,FALSE)="",E28,ROUND(VLOOKUP(G28,'設定'!$A$9:$B$18,2,FALSE)*H28,2)),E28)))</f>
        <v/>
      </c>
      <c r="N28">
        <f>IF(L28=1,COUNTIF(L$2:L28,1),"")</f>
        <v/>
      </c>
    </row>
    <row r="29">
      <c r="A29" t="inlineStr">
        <is>
          <t>B</t>
        </is>
      </c>
      <c r="B29" t="n">
        <v>3</v>
      </c>
      <c r="K29">
        <f>INDEX('設定'!$G$23:$G$34,B29)</f>
        <v/>
      </c>
      <c r="L29">
        <f>IF(K29&lt;&gt;1,0,IF(OR(A29="T",A29="S",A29="B"),1,IF(AND(OR(I29="",I29&lt;='設定'!$K$2),OR(J29="",ISNUMBER(SEARCH('設定'!$K$3,J29)))),1,0)))</f>
        <v/>
      </c>
      <c r="M29">
        <f>IF(A29&lt;&gt;"I","",IF(G29="",E29,IFERROR(IF(VLOOKUP(G29,'設定'!$A$9:$B$18,2,FALSE)="",E29,ROUND(VLOOKUP(G29,'設定'!$A$9:$B$18,2,FALSE)*H29,2)),E29)))</f>
        <v/>
      </c>
      <c r="N29">
        <f>IF(L29=1,COUNTIF(L$2:L29,1),"")</f>
        <v/>
      </c>
    </row>
    <row r="30">
      <c r="A30" t="inlineStr">
        <is>
          <t>T</t>
        </is>
      </c>
      <c r="B30" t="n">
        <v>4</v>
      </c>
      <c r="C30" t="inlineStr">
        <is>
          <t>屋根板金工事</t>
        </is>
      </c>
      <c r="K30">
        <f>INDEX('設定'!$G$23:$G$34,B30)</f>
        <v/>
      </c>
      <c r="L30">
        <f>IF(K30&lt;&gt;1,0,IF(OR(A30="T",A30="S",A30="B"),1,IF(AND(OR(I30="",I30&lt;='設定'!$K$2),OR(J30="",ISNUMBER(SEARCH('設定'!$K$3,J30)))),1,0)))</f>
        <v/>
      </c>
      <c r="M30">
        <f>IF(A30&lt;&gt;"I","",IF(G30="",E30,IFERROR(IF(VLOOKUP(G30,'設定'!$A$9:$B$18,2,FALSE)="",E30,ROUND(VLOOKUP(G30,'設定'!$A$9:$B$18,2,FALSE)*H30,2)),E30)))</f>
        <v/>
      </c>
      <c r="N30">
        <f>IF(L30=1,COUNTIF(L$2:L30,1),"")</f>
        <v/>
      </c>
    </row>
    <row r="31">
      <c r="A31" t="inlineStr">
        <is>
          <t>G</t>
        </is>
      </c>
      <c r="B31" t="n">
        <v>4</v>
      </c>
      <c r="C31" t="inlineStr">
        <is>
          <t>【屋根】</t>
        </is>
      </c>
      <c r="K31">
        <f>INDEX('設定'!$G$23:$G$34,B31)</f>
        <v/>
      </c>
      <c r="L31">
        <f>IF(K31&lt;&gt;1,0,IF(OR(A31="T",A31="S",A31="B"),1,IF(AND(OR(I31="",I31&lt;='設定'!$K$2),OR(J31="",ISNUMBER(SEARCH('設定'!$K$3,J31)))),1,0)))</f>
        <v/>
      </c>
      <c r="M31">
        <f>IF(A31&lt;&gt;"I","",IF(G31="",E31,IFERROR(IF(VLOOKUP(G31,'設定'!$A$9:$B$18,2,FALSE)="",E31,ROUND(VLOOKUP(G31,'設定'!$A$9:$B$18,2,FALSE)*H31,2)),E31)))</f>
        <v/>
      </c>
      <c r="N31">
        <f>IF(L31=1,COUNTIF(L$2:L31,1),"")</f>
        <v/>
      </c>
    </row>
    <row r="32">
      <c r="A32" t="inlineStr">
        <is>
          <t>I</t>
        </is>
      </c>
      <c r="B32" t="n">
        <v>4</v>
      </c>
      <c r="C32" t="inlineStr">
        <is>
          <t>屋根GL立平葺き</t>
        </is>
      </c>
      <c r="E32" t="n">
        <v>83</v>
      </c>
      <c r="F32" t="inlineStr">
        <is>
          <t>㎡</t>
        </is>
      </c>
      <c r="G32" t="inlineStr">
        <is>
          <t>roof_area</t>
        </is>
      </c>
      <c r="H32" t="n">
        <v>1</v>
      </c>
      <c r="K32">
        <f>INDEX('設定'!$G$23:$G$34,B32)</f>
        <v/>
      </c>
      <c r="L32">
        <f>IF(K32&lt;&gt;1,0,IF(OR(A32="T",A32="S",A32="B"),1,IF(AND(OR(I32="",I32&lt;='設定'!$K$2),OR(J32="",ISNUMBER(SEARCH('設定'!$K$3,J32)))),1,0)))</f>
        <v/>
      </c>
      <c r="M32">
        <f>IF(A32&lt;&gt;"I","",IF(G32="",E32,IFERROR(IF(VLOOKUP(G32,'設定'!$A$9:$B$18,2,FALSE)="",E32,ROUND(VLOOKUP(G32,'設定'!$A$9:$B$18,2,FALSE)*H32,2)),E32)))</f>
        <v/>
      </c>
      <c r="N32">
        <f>IF(L32=1,COUNTIF(L$2:L32,1),"")</f>
        <v/>
      </c>
    </row>
    <row r="33">
      <c r="A33" t="inlineStr">
        <is>
          <t>I</t>
        </is>
      </c>
      <c r="B33" t="n">
        <v>4</v>
      </c>
      <c r="C33" t="inlineStr">
        <is>
          <t>屋根ｶﾗｸｻ</t>
        </is>
      </c>
      <c r="E33" t="n">
        <v>47</v>
      </c>
      <c r="F33" t="inlineStr">
        <is>
          <t>ⅿ</t>
        </is>
      </c>
      <c r="K33">
        <f>INDEX('設定'!$G$23:$G$34,B33)</f>
        <v/>
      </c>
      <c r="L33">
        <f>IF(K33&lt;&gt;1,0,IF(OR(A33="T",A33="S",A33="B"),1,IF(AND(OR(I33="",I33&lt;='設定'!$K$2),OR(J33="",ISNUMBER(SEARCH('設定'!$K$3,J33)))),1,0)))</f>
        <v/>
      </c>
      <c r="M33">
        <f>IF(A33&lt;&gt;"I","",IF(G33="",E33,IFERROR(IF(VLOOKUP(G33,'設定'!$A$9:$B$18,2,FALSE)="",E33,ROUND(VLOOKUP(G33,'設定'!$A$9:$B$18,2,FALSE)*H33,2)),E33)))</f>
        <v/>
      </c>
      <c r="N33">
        <f>IF(L33=1,COUNTIF(L$2:L33,1),"")</f>
        <v/>
      </c>
    </row>
    <row r="34">
      <c r="A34" t="inlineStr">
        <is>
          <t>I</t>
        </is>
      </c>
      <c r="B34" t="n">
        <v>4</v>
      </c>
      <c r="C34" t="inlineStr">
        <is>
          <t>ｺﾞﾑｱｽﾙｰﾌｨﾝｸﾞ</t>
        </is>
      </c>
      <c r="E34" t="n">
        <v>83</v>
      </c>
      <c r="F34" t="inlineStr">
        <is>
          <t>㎡</t>
        </is>
      </c>
      <c r="G34" t="inlineStr">
        <is>
          <t>roof_area</t>
        </is>
      </c>
      <c r="H34" t="n">
        <v>1</v>
      </c>
      <c r="K34">
        <f>INDEX('設定'!$G$23:$G$34,B34)</f>
        <v/>
      </c>
      <c r="L34">
        <f>IF(K34&lt;&gt;1,0,IF(OR(A34="T",A34="S",A34="B"),1,IF(AND(OR(I34="",I34&lt;='設定'!$K$2),OR(J34="",ISNUMBER(SEARCH('設定'!$K$3,J34)))),1,0)))</f>
        <v/>
      </c>
      <c r="M34">
        <f>IF(A34&lt;&gt;"I","",IF(G34="",E34,IFERROR(IF(VLOOKUP(G34,'設定'!$A$9:$B$18,2,FALSE)="",E34,ROUND(VLOOKUP(G34,'設定'!$A$9:$B$18,2,FALSE)*H34,2)),E34)))</f>
        <v/>
      </c>
      <c r="N34">
        <f>IF(L34=1,COUNTIF(L$2:L34,1),"")</f>
        <v/>
      </c>
    </row>
    <row r="35">
      <c r="A35" t="inlineStr">
        <is>
          <t>I</t>
        </is>
      </c>
      <c r="B35" t="n">
        <v>4</v>
      </c>
      <c r="C35" t="inlineStr">
        <is>
          <t>雪止め1段</t>
        </is>
      </c>
      <c r="E35" t="n">
        <v>78</v>
      </c>
      <c r="F35" t="inlineStr">
        <is>
          <t>ヶ</t>
        </is>
      </c>
      <c r="K35">
        <f>INDEX('設定'!$G$23:$G$34,B35)</f>
        <v/>
      </c>
      <c r="L35">
        <f>IF(K35&lt;&gt;1,0,IF(OR(A35="T",A35="S",A35="B"),1,IF(AND(OR(I35="",I35&lt;='設定'!$K$2),OR(J35="",ISNUMBER(SEARCH('設定'!$K$3,J35)))),1,0)))</f>
        <v/>
      </c>
      <c r="M35">
        <f>IF(A35&lt;&gt;"I","",IF(G35="",E35,IFERROR(IF(VLOOKUP(G35,'設定'!$A$9:$B$18,2,FALSE)="",E35,ROUND(VLOOKUP(G35,'設定'!$A$9:$B$18,2,FALSE)*H35,2)),E35)))</f>
        <v/>
      </c>
      <c r="N35">
        <f>IF(L35=1,COUNTIF(L$2:L35,1),"")</f>
        <v/>
      </c>
    </row>
    <row r="36">
      <c r="A36" t="inlineStr">
        <is>
          <t>I</t>
        </is>
      </c>
      <c r="B36" t="n">
        <v>4</v>
      </c>
      <c r="C36" t="inlineStr">
        <is>
          <t>立上水切</t>
        </is>
      </c>
      <c r="E36" t="n">
        <v>20</v>
      </c>
      <c r="F36" t="inlineStr">
        <is>
          <t>ⅿ</t>
        </is>
      </c>
      <c r="K36">
        <f>INDEX('設定'!$G$23:$G$34,B36)</f>
        <v/>
      </c>
      <c r="L36">
        <f>IF(K36&lt;&gt;1,0,IF(OR(A36="T",A36="S",A36="B"),1,IF(AND(OR(I36="",I36&lt;='設定'!$K$2),OR(J36="",ISNUMBER(SEARCH('設定'!$K$3,J36)))),1,0)))</f>
        <v/>
      </c>
      <c r="M36">
        <f>IF(A36&lt;&gt;"I","",IF(G36="",E36,IFERROR(IF(VLOOKUP(G36,'設定'!$A$9:$B$18,2,FALSE)="",E36,ROUND(VLOOKUP(G36,'設定'!$A$9:$B$18,2,FALSE)*H36,2)),E36)))</f>
        <v/>
      </c>
      <c r="N36">
        <f>IF(L36=1,COUNTIF(L$2:L36,1),"")</f>
        <v/>
      </c>
    </row>
    <row r="37">
      <c r="A37" t="inlineStr">
        <is>
          <t>I</t>
        </is>
      </c>
      <c r="B37" t="n">
        <v>4</v>
      </c>
      <c r="C37" t="inlineStr">
        <is>
          <t>棟板金</t>
        </is>
      </c>
      <c r="E37" t="n">
        <v>11.5</v>
      </c>
      <c r="F37" t="inlineStr">
        <is>
          <t>ⅿ</t>
        </is>
      </c>
      <c r="K37">
        <f>INDEX('設定'!$G$23:$G$34,B37)</f>
        <v/>
      </c>
      <c r="L37">
        <f>IF(K37&lt;&gt;1,0,IF(OR(A37="T",A37="S",A37="B"),1,IF(AND(OR(I37="",I37&lt;='設定'!$K$2),OR(J37="",ISNUMBER(SEARCH('設定'!$K$3,J37)))),1,0)))</f>
        <v/>
      </c>
      <c r="M37">
        <f>IF(A37&lt;&gt;"I","",IF(G37="",E37,IFERROR(IF(VLOOKUP(G37,'設定'!$A$9:$B$18,2,FALSE)="",E37,ROUND(VLOOKUP(G37,'設定'!$A$9:$B$18,2,FALSE)*H37,2)),E37)))</f>
        <v/>
      </c>
      <c r="N37">
        <f>IF(L37=1,COUNTIF(L$2:L37,1),"")</f>
        <v/>
      </c>
    </row>
    <row r="38">
      <c r="A38" t="inlineStr">
        <is>
          <t>I</t>
        </is>
      </c>
      <c r="B38" t="n">
        <v>4</v>
      </c>
      <c r="C38" t="inlineStr">
        <is>
          <t>谷板工事</t>
        </is>
      </c>
      <c r="E38" t="n">
        <v>1.7</v>
      </c>
      <c r="F38" t="inlineStr">
        <is>
          <t>ⅿ</t>
        </is>
      </c>
      <c r="K38">
        <f>INDEX('設定'!$G$23:$G$34,B38)</f>
        <v/>
      </c>
      <c r="L38">
        <f>IF(K38&lt;&gt;1,0,IF(OR(A38="T",A38="S",A38="B"),1,IF(AND(OR(I38="",I38&lt;='設定'!$K$2),OR(J38="",ISNUMBER(SEARCH('設定'!$K$3,J38)))),1,0)))</f>
        <v/>
      </c>
      <c r="M38">
        <f>IF(A38&lt;&gt;"I","",IF(G38="",E38,IFERROR(IF(VLOOKUP(G38,'設定'!$A$9:$B$18,2,FALSE)="",E38,ROUND(VLOOKUP(G38,'設定'!$A$9:$B$18,2,FALSE)*H38,2)),E38)))</f>
        <v/>
      </c>
      <c r="N38">
        <f>IF(L38=1,COUNTIF(L$2:L38,1),"")</f>
        <v/>
      </c>
    </row>
    <row r="39">
      <c r="A39" t="inlineStr">
        <is>
          <t>I</t>
        </is>
      </c>
      <c r="B39" t="n">
        <v>4</v>
      </c>
      <c r="C39" t="inlineStr">
        <is>
          <t>荷上げﾚｯｶｰ代</t>
        </is>
      </c>
      <c r="E39" t="n">
        <v>1</v>
      </c>
      <c r="F39" t="inlineStr">
        <is>
          <t>式</t>
        </is>
      </c>
      <c r="K39">
        <f>INDEX('設定'!$G$23:$G$34,B39)</f>
        <v/>
      </c>
      <c r="L39">
        <f>IF(K39&lt;&gt;1,0,IF(OR(A39="T",A39="S",A39="B"),1,IF(AND(OR(I39="",I39&lt;='設定'!$K$2),OR(J39="",ISNUMBER(SEARCH('設定'!$K$3,J39)))),1,0)))</f>
        <v/>
      </c>
      <c r="M39">
        <f>IF(A39&lt;&gt;"I","",IF(G39="",E39,IFERROR(IF(VLOOKUP(G39,'設定'!$A$9:$B$18,2,FALSE)="",E39,ROUND(VLOOKUP(G39,'設定'!$A$9:$B$18,2,FALSE)*H39,2)),E39)))</f>
        <v/>
      </c>
      <c r="N39">
        <f>IF(L39=1,COUNTIF(L$2:L39,1),"")</f>
        <v/>
      </c>
    </row>
    <row r="40">
      <c r="A40" t="inlineStr">
        <is>
          <t>G</t>
        </is>
      </c>
      <c r="B40" t="n">
        <v>4</v>
      </c>
      <c r="C40" t="inlineStr">
        <is>
          <t>【外壁】</t>
        </is>
      </c>
      <c r="K40">
        <f>INDEX('設定'!$G$23:$G$34,B40)</f>
        <v/>
      </c>
      <c r="L40">
        <f>IF(K40&lt;&gt;1,0,IF(OR(A40="T",A40="S",A40="B"),1,IF(AND(OR(I40="",I40&lt;='設定'!$K$2),OR(J40="",ISNUMBER(SEARCH('設定'!$K$3,J40)))),1,0)))</f>
        <v/>
      </c>
      <c r="M40">
        <f>IF(A40&lt;&gt;"I","",IF(G40="",E40,IFERROR(IF(VLOOKUP(G40,'設定'!$A$9:$B$18,2,FALSE)="",E40,ROUND(VLOOKUP(G40,'設定'!$A$9:$B$18,2,FALSE)*H40,2)),E40)))</f>
        <v/>
      </c>
      <c r="N40">
        <f>IF(L40=1,COUNTIF(L$2:L40,1),"")</f>
        <v/>
      </c>
    </row>
    <row r="41">
      <c r="A41" t="inlineStr">
        <is>
          <t>I</t>
        </is>
      </c>
      <c r="B41" t="n">
        <v>4</v>
      </c>
      <c r="C41" t="inlineStr">
        <is>
          <t>6山角波工事</t>
        </is>
      </c>
      <c r="E41" t="n">
        <v>123.3</v>
      </c>
      <c r="F41" t="inlineStr">
        <is>
          <t>㎡</t>
        </is>
      </c>
      <c r="G41" t="inlineStr">
        <is>
          <t>wall_area</t>
        </is>
      </c>
      <c r="H41" t="n">
        <v>1</v>
      </c>
      <c r="K41">
        <f>INDEX('設定'!$G$23:$G$34,B41)</f>
        <v/>
      </c>
      <c r="L41">
        <f>IF(K41&lt;&gt;1,0,IF(OR(A41="T",A41="S",A41="B"),1,IF(AND(OR(I41="",I41&lt;='設定'!$K$2),OR(J41="",ISNUMBER(SEARCH('設定'!$K$3,J41)))),1,0)))</f>
        <v/>
      </c>
      <c r="M41">
        <f>IF(A41&lt;&gt;"I","",IF(G41="",E41,IFERROR(IF(VLOOKUP(G41,'設定'!$A$9:$B$18,2,FALSE)="",E41,ROUND(VLOOKUP(G41,'設定'!$A$9:$B$18,2,FALSE)*H41,2)),E41)))</f>
        <v/>
      </c>
      <c r="N41">
        <f>IF(L41=1,COUNTIF(L$2:L41,1),"")</f>
        <v/>
      </c>
    </row>
    <row r="42">
      <c r="A42" t="inlineStr">
        <is>
          <t>I</t>
        </is>
      </c>
      <c r="B42" t="n">
        <v>4</v>
      </c>
      <c r="C42" t="inlineStr">
        <is>
          <t>土台水切り</t>
        </is>
      </c>
      <c r="E42" t="n">
        <v>29.5</v>
      </c>
      <c r="F42" t="inlineStr">
        <is>
          <t>ⅿ</t>
        </is>
      </c>
      <c r="K42">
        <f>INDEX('設定'!$G$23:$G$34,B42)</f>
        <v/>
      </c>
      <c r="L42">
        <f>IF(K42&lt;&gt;1,0,IF(OR(A42="T",A42="S",A42="B"),1,IF(AND(OR(I42="",I42&lt;='設定'!$K$2),OR(J42="",ISNUMBER(SEARCH('設定'!$K$3,J42)))),1,0)))</f>
        <v/>
      </c>
      <c r="M42">
        <f>IF(A42&lt;&gt;"I","",IF(G42="",E42,IFERROR(IF(VLOOKUP(G42,'設定'!$A$9:$B$18,2,FALSE)="",E42,ROUND(VLOOKUP(G42,'設定'!$A$9:$B$18,2,FALSE)*H42,2)),E42)))</f>
        <v/>
      </c>
      <c r="N42">
        <f>IF(L42=1,COUNTIF(L$2:L42,1),"")</f>
        <v/>
      </c>
    </row>
    <row r="43">
      <c r="A43" t="inlineStr">
        <is>
          <t>I</t>
        </is>
      </c>
      <c r="B43" t="n">
        <v>4</v>
      </c>
      <c r="C43" t="inlineStr">
        <is>
          <t>軒天、窓廻りｺｰﾅｰ水切り</t>
        </is>
      </c>
      <c r="E43" t="n">
        <v>75</v>
      </c>
      <c r="F43" t="inlineStr">
        <is>
          <t>ⅿ</t>
        </is>
      </c>
      <c r="K43">
        <f>INDEX('設定'!$G$23:$G$34,B43)</f>
        <v/>
      </c>
      <c r="L43">
        <f>IF(K43&lt;&gt;1,0,IF(OR(A43="T",A43="S",A43="B"),1,IF(AND(OR(I43="",I43&lt;='設定'!$K$2),OR(J43="",ISNUMBER(SEARCH('設定'!$K$3,J43)))),1,0)))</f>
        <v/>
      </c>
      <c r="M43">
        <f>IF(A43&lt;&gt;"I","",IF(G43="",E43,IFERROR(IF(VLOOKUP(G43,'設定'!$A$9:$B$18,2,FALSE)="",E43,ROUND(VLOOKUP(G43,'設定'!$A$9:$B$18,2,FALSE)*H43,2)),E43)))</f>
        <v/>
      </c>
      <c r="N43">
        <f>IF(L43=1,COUNTIF(L$2:L43,1),"")</f>
        <v/>
      </c>
    </row>
    <row r="44">
      <c r="A44" t="inlineStr">
        <is>
          <t>I</t>
        </is>
      </c>
      <c r="B44" t="n">
        <v>4</v>
      </c>
      <c r="C44" t="inlineStr">
        <is>
          <t>出角水切り</t>
        </is>
      </c>
      <c r="E44" t="n">
        <v>21.8</v>
      </c>
      <c r="F44" t="inlineStr">
        <is>
          <t>ⅿ</t>
        </is>
      </c>
      <c r="K44">
        <f>INDEX('設定'!$G$23:$G$34,B44)</f>
        <v/>
      </c>
      <c r="L44">
        <f>IF(K44&lt;&gt;1,0,IF(OR(A44="T",A44="S",A44="B"),1,IF(AND(OR(I44="",I44&lt;='設定'!$K$2),OR(J44="",ISNUMBER(SEARCH('設定'!$K$3,J44)))),1,0)))</f>
        <v/>
      </c>
      <c r="M44">
        <f>IF(A44&lt;&gt;"I","",IF(G44="",E44,IFERROR(IF(VLOOKUP(G44,'設定'!$A$9:$B$18,2,FALSE)="",E44,ROUND(VLOOKUP(G44,'設定'!$A$9:$B$18,2,FALSE)*H44,2)),E44)))</f>
        <v/>
      </c>
      <c r="N44">
        <f>IF(L44=1,COUNTIF(L$2:L44,1),"")</f>
        <v/>
      </c>
    </row>
    <row r="45">
      <c r="A45" t="inlineStr">
        <is>
          <t>G</t>
        </is>
      </c>
      <c r="B45" t="n">
        <v>4</v>
      </c>
      <c r="C45" t="inlineStr">
        <is>
          <t>【雨樋】</t>
        </is>
      </c>
      <c r="K45">
        <f>INDEX('設定'!$G$23:$G$34,B45)</f>
        <v/>
      </c>
      <c r="L45">
        <f>IF(K45&lt;&gt;1,0,IF(OR(A45="T",A45="S",A45="B"),1,IF(AND(OR(I45="",I45&lt;='設定'!$K$2),OR(J45="",ISNUMBER(SEARCH('設定'!$K$3,J45)))),1,0)))</f>
        <v/>
      </c>
      <c r="M45">
        <f>IF(A45&lt;&gt;"I","",IF(G45="",E45,IFERROR(IF(VLOOKUP(G45,'設定'!$A$9:$B$18,2,FALSE)="",E45,ROUND(VLOOKUP(G45,'設定'!$A$9:$B$18,2,FALSE)*H45,2)),E45)))</f>
        <v/>
      </c>
      <c r="N45">
        <f>IF(L45=1,COUNTIF(L$2:L45,1),"")</f>
        <v/>
      </c>
    </row>
    <row r="46">
      <c r="A46" t="inlineStr">
        <is>
          <t>I</t>
        </is>
      </c>
      <c r="B46" t="n">
        <v>4</v>
      </c>
      <c r="C46" t="inlineStr">
        <is>
          <t>半丸工事</t>
        </is>
      </c>
      <c r="E46" t="n">
        <v>26.5</v>
      </c>
      <c r="F46" t="inlineStr">
        <is>
          <t>ⅿ</t>
        </is>
      </c>
      <c r="K46">
        <f>INDEX('設定'!$G$23:$G$34,B46)</f>
        <v/>
      </c>
      <c r="L46">
        <f>IF(K46&lt;&gt;1,0,IF(OR(A46="T",A46="S",A46="B"),1,IF(AND(OR(I46="",I46&lt;='設定'!$K$2),OR(J46="",ISNUMBER(SEARCH('設定'!$K$3,J46)))),1,0)))</f>
        <v/>
      </c>
      <c r="M46">
        <f>IF(A46&lt;&gt;"I","",IF(G46="",E46,IFERROR(IF(VLOOKUP(G46,'設定'!$A$9:$B$18,2,FALSE)="",E46,ROUND(VLOOKUP(G46,'設定'!$A$9:$B$18,2,FALSE)*H46,2)),E46)))</f>
        <v/>
      </c>
      <c r="N46">
        <f>IF(L46=1,COUNTIF(L$2:L46,1),"")</f>
        <v/>
      </c>
    </row>
    <row r="47">
      <c r="A47" t="inlineStr">
        <is>
          <t>I</t>
        </is>
      </c>
      <c r="B47" t="n">
        <v>4</v>
      </c>
      <c r="C47" t="inlineStr">
        <is>
          <t>受金</t>
        </is>
      </c>
      <c r="E47" t="n">
        <v>55</v>
      </c>
      <c r="F47" t="inlineStr">
        <is>
          <t>本</t>
        </is>
      </c>
      <c r="K47">
        <f>INDEX('設定'!$G$23:$G$34,B47)</f>
        <v/>
      </c>
      <c r="L47">
        <f>IF(K47&lt;&gt;1,0,IF(OR(A47="T",A47="S",A47="B"),1,IF(AND(OR(I47="",I47&lt;='設定'!$K$2),OR(J47="",ISNUMBER(SEARCH('設定'!$K$3,J47)))),1,0)))</f>
        <v/>
      </c>
      <c r="M47">
        <f>IF(A47&lt;&gt;"I","",IF(G47="",E47,IFERROR(IF(VLOOKUP(G47,'設定'!$A$9:$B$18,2,FALSE)="",E47,ROUND(VLOOKUP(G47,'設定'!$A$9:$B$18,2,FALSE)*H47,2)),E47)))</f>
        <v/>
      </c>
      <c r="N47">
        <f>IF(L47=1,COUNTIF(L$2:L47,1),"")</f>
        <v/>
      </c>
    </row>
    <row r="48">
      <c r="A48" t="inlineStr">
        <is>
          <t>I</t>
        </is>
      </c>
      <c r="B48" t="n">
        <v>4</v>
      </c>
      <c r="C48" t="inlineStr">
        <is>
          <t>上合</t>
        </is>
      </c>
      <c r="E48" t="n">
        <v>7</v>
      </c>
      <c r="F48" t="inlineStr">
        <is>
          <t>ヶ処</t>
        </is>
      </c>
      <c r="K48">
        <f>INDEX('設定'!$G$23:$G$34,B48)</f>
        <v/>
      </c>
      <c r="L48">
        <f>IF(K48&lt;&gt;1,0,IF(OR(A48="T",A48="S",A48="B"),1,IF(AND(OR(I48="",I48&lt;='設定'!$K$2),OR(J48="",ISNUMBER(SEARCH('設定'!$K$3,J48)))),1,0)))</f>
        <v/>
      </c>
      <c r="M48">
        <f>IF(A48&lt;&gt;"I","",IF(G48="",E48,IFERROR(IF(VLOOKUP(G48,'設定'!$A$9:$B$18,2,FALSE)="",E48,ROUND(VLOOKUP(G48,'設定'!$A$9:$B$18,2,FALSE)*H48,2)),E48)))</f>
        <v/>
      </c>
      <c r="N48">
        <f>IF(L48=1,COUNTIF(L$2:L48,1),"")</f>
        <v/>
      </c>
    </row>
    <row r="49">
      <c r="A49" t="inlineStr">
        <is>
          <t>I</t>
        </is>
      </c>
      <c r="B49" t="n">
        <v>4</v>
      </c>
      <c r="C49" t="inlineStr">
        <is>
          <t>曲がり</t>
        </is>
      </c>
      <c r="E49" t="n">
        <v>1</v>
      </c>
      <c r="F49" t="inlineStr">
        <is>
          <t>ヶ</t>
        </is>
      </c>
      <c r="K49">
        <f>INDEX('設定'!$G$23:$G$34,B49)</f>
        <v/>
      </c>
      <c r="L49">
        <f>IF(K49&lt;&gt;1,0,IF(OR(A49="T",A49="S",A49="B"),1,IF(AND(OR(I49="",I49&lt;='設定'!$K$2),OR(J49="",ISNUMBER(SEARCH('設定'!$K$3,J49)))),1,0)))</f>
        <v/>
      </c>
      <c r="M49">
        <f>IF(A49&lt;&gt;"I","",IF(G49="",E49,IFERROR(IF(VLOOKUP(G49,'設定'!$A$9:$B$18,2,FALSE)="",E49,ROUND(VLOOKUP(G49,'設定'!$A$9:$B$18,2,FALSE)*H49,2)),E49)))</f>
        <v/>
      </c>
      <c r="N49">
        <f>IF(L49=1,COUNTIF(L$2:L49,1),"")</f>
        <v/>
      </c>
    </row>
    <row r="50">
      <c r="A50" t="inlineStr">
        <is>
          <t>I</t>
        </is>
      </c>
      <c r="B50" t="n">
        <v>4</v>
      </c>
      <c r="C50" t="inlineStr">
        <is>
          <t>竪樋工事</t>
        </is>
      </c>
      <c r="E50" t="n">
        <v>28</v>
      </c>
      <c r="F50" t="inlineStr">
        <is>
          <t>ⅿ</t>
        </is>
      </c>
      <c r="K50">
        <f>INDEX('設定'!$G$23:$G$34,B50)</f>
        <v/>
      </c>
      <c r="L50">
        <f>IF(K50&lt;&gt;1,0,IF(OR(A50="T",A50="S",A50="B"),1,IF(AND(OR(I50="",I50&lt;='設定'!$K$2),OR(J50="",ISNUMBER(SEARCH('設定'!$K$3,J50)))),1,0)))</f>
        <v/>
      </c>
      <c r="M50">
        <f>IF(A50&lt;&gt;"I","",IF(G50="",E50,IFERROR(IF(VLOOKUP(G50,'設定'!$A$9:$B$18,2,FALSE)="",E50,ROUND(VLOOKUP(G50,'設定'!$A$9:$B$18,2,FALSE)*H50,2)),E50)))</f>
        <v/>
      </c>
      <c r="N50">
        <f>IF(L50=1,COUNTIF(L$2:L50,1),"")</f>
        <v/>
      </c>
    </row>
    <row r="51">
      <c r="A51" t="inlineStr">
        <is>
          <t>I</t>
        </is>
      </c>
      <c r="B51" t="n">
        <v>4</v>
      </c>
      <c r="C51" t="inlineStr">
        <is>
          <t>ｴﾙﾎﾞｿｹｯﾄ</t>
        </is>
      </c>
      <c r="E51" t="n">
        <v>33</v>
      </c>
      <c r="F51" t="inlineStr">
        <is>
          <t>ヶ</t>
        </is>
      </c>
      <c r="K51">
        <f>INDEX('設定'!$G$23:$G$34,B51)</f>
        <v/>
      </c>
      <c r="L51">
        <f>IF(K51&lt;&gt;1,0,IF(OR(A51="T",A51="S",A51="B"),1,IF(AND(OR(I51="",I51&lt;='設定'!$K$2),OR(J51="",ISNUMBER(SEARCH('設定'!$K$3,J51)))),1,0)))</f>
        <v/>
      </c>
      <c r="M51">
        <f>IF(A51&lt;&gt;"I","",IF(G51="",E51,IFERROR(IF(VLOOKUP(G51,'設定'!$A$9:$B$18,2,FALSE)="",E51,ROUND(VLOOKUP(G51,'設定'!$A$9:$B$18,2,FALSE)*H51,2)),E51)))</f>
        <v/>
      </c>
      <c r="N51">
        <f>IF(L51=1,COUNTIF(L$2:L51,1),"")</f>
        <v/>
      </c>
    </row>
    <row r="52">
      <c r="A52" t="inlineStr">
        <is>
          <t>I</t>
        </is>
      </c>
      <c r="B52" t="n">
        <v>4</v>
      </c>
      <c r="C52" t="inlineStr">
        <is>
          <t>ﾂｶﾐ金</t>
        </is>
      </c>
      <c r="E52" t="n">
        <v>24</v>
      </c>
      <c r="F52" t="inlineStr">
        <is>
          <t>ヶ</t>
        </is>
      </c>
      <c r="K52">
        <f>INDEX('設定'!$G$23:$G$34,B52)</f>
        <v/>
      </c>
      <c r="L52">
        <f>IF(K52&lt;&gt;1,0,IF(OR(A52="T",A52="S",A52="B"),1,IF(AND(OR(I52="",I52&lt;='設定'!$K$2),OR(J52="",ISNUMBER(SEARCH('設定'!$K$3,J52)))),1,0)))</f>
        <v/>
      </c>
      <c r="M52">
        <f>IF(A52&lt;&gt;"I","",IF(G52="",E52,IFERROR(IF(VLOOKUP(G52,'設定'!$A$9:$B$18,2,FALSE)="",E52,ROUND(VLOOKUP(G52,'設定'!$A$9:$B$18,2,FALSE)*H52,2)),E52)))</f>
        <v/>
      </c>
      <c r="N52">
        <f>IF(L52=1,COUNTIF(L$2:L52,1),"")</f>
        <v/>
      </c>
    </row>
    <row r="53">
      <c r="A53" t="inlineStr">
        <is>
          <t>I</t>
        </is>
      </c>
      <c r="B53" t="n">
        <v>4</v>
      </c>
      <c r="C53" t="inlineStr">
        <is>
          <t>雑材消耗品費</t>
        </is>
      </c>
      <c r="E53" t="n">
        <v>1</v>
      </c>
      <c r="F53" t="inlineStr">
        <is>
          <t>式</t>
        </is>
      </c>
      <c r="K53">
        <f>INDEX('設定'!$G$23:$G$34,B53)</f>
        <v/>
      </c>
      <c r="L53">
        <f>IF(K53&lt;&gt;1,0,IF(OR(A53="T",A53="S",A53="B"),1,IF(AND(OR(I53="",I53&lt;='設定'!$K$2),OR(J53="",ISNUMBER(SEARCH('設定'!$K$3,J53)))),1,0)))</f>
        <v/>
      </c>
      <c r="M53">
        <f>IF(A53&lt;&gt;"I","",IF(G53="",E53,IFERROR(IF(VLOOKUP(G53,'設定'!$A$9:$B$18,2,FALSE)="",E53,ROUND(VLOOKUP(G53,'設定'!$A$9:$B$18,2,FALSE)*H53,2)),E53)))</f>
        <v/>
      </c>
      <c r="N53">
        <f>IF(L53=1,COUNTIF(L$2:L53,1),"")</f>
        <v/>
      </c>
    </row>
    <row r="54">
      <c r="A54" t="inlineStr">
        <is>
          <t>S</t>
        </is>
      </c>
      <c r="B54" t="n">
        <v>4</v>
      </c>
      <c r="C54" t="inlineStr">
        <is>
          <t>小　計</t>
        </is>
      </c>
      <c r="K54">
        <f>INDEX('設定'!$G$23:$G$34,B54)</f>
        <v/>
      </c>
      <c r="L54">
        <f>IF(K54&lt;&gt;1,0,IF(OR(A54="T",A54="S",A54="B"),1,IF(AND(OR(I54="",I54&lt;='設定'!$K$2),OR(J54="",ISNUMBER(SEARCH('設定'!$K$3,J54)))),1,0)))</f>
        <v/>
      </c>
      <c r="M54">
        <f>IF(A54&lt;&gt;"I","",IF(G54="",E54,IFERROR(IF(VLOOKUP(G54,'設定'!$A$9:$B$18,2,FALSE)="",E54,ROUND(VLOOKUP(G54,'設定'!$A$9:$B$18,2,FALSE)*H54,2)),E54)))</f>
        <v/>
      </c>
      <c r="N54">
        <f>IF(L54=1,COUNTIF(L$2:L54,1),"")</f>
        <v/>
      </c>
    </row>
    <row r="55">
      <c r="A55" t="inlineStr">
        <is>
          <t>B</t>
        </is>
      </c>
      <c r="B55" t="n">
        <v>4</v>
      </c>
      <c r="K55">
        <f>INDEX('設定'!$G$23:$G$34,B55)</f>
        <v/>
      </c>
      <c r="L55">
        <f>IF(K55&lt;&gt;1,0,IF(OR(A55="T",A55="S",A55="B"),1,IF(AND(OR(I55="",I55&lt;='設定'!$K$2),OR(J55="",ISNUMBER(SEARCH('設定'!$K$3,J55)))),1,0)))</f>
        <v/>
      </c>
      <c r="M55">
        <f>IF(A55&lt;&gt;"I","",IF(G55="",E55,IFERROR(IF(VLOOKUP(G55,'設定'!$A$9:$B$18,2,FALSE)="",E55,ROUND(VLOOKUP(G55,'設定'!$A$9:$B$18,2,FALSE)*H55,2)),E55)))</f>
        <v/>
      </c>
      <c r="N55">
        <f>IF(L55=1,COUNTIF(L$2:L55,1),"")</f>
        <v/>
      </c>
    </row>
    <row r="56">
      <c r="A56" t="inlineStr">
        <is>
          <t>T</t>
        </is>
      </c>
      <c r="B56" t="n">
        <v>5</v>
      </c>
      <c r="C56" t="inlineStr">
        <is>
          <t>内外装工事</t>
        </is>
      </c>
      <c r="K56">
        <f>INDEX('設定'!$G$23:$G$34,B56)</f>
        <v/>
      </c>
      <c r="L56">
        <f>IF(K56&lt;&gt;1,0,IF(OR(A56="T",A56="S",A56="B"),1,IF(AND(OR(I56="",I56&lt;='設定'!$K$2),OR(J56="",ISNUMBER(SEARCH('設定'!$K$3,J56)))),1,0)))</f>
        <v/>
      </c>
      <c r="M56">
        <f>IF(A56&lt;&gt;"I","",IF(G56="",E56,IFERROR(IF(VLOOKUP(G56,'設定'!$A$9:$B$18,2,FALSE)="",E56,ROUND(VLOOKUP(G56,'設定'!$A$9:$B$18,2,FALSE)*H56,2)),E56)))</f>
        <v/>
      </c>
      <c r="N56">
        <f>IF(L56=1,COUNTIF(L$2:L56,1),"")</f>
        <v/>
      </c>
    </row>
    <row r="57">
      <c r="A57" t="inlineStr">
        <is>
          <t>I</t>
        </is>
      </c>
      <c r="B57" t="n">
        <v>5</v>
      </c>
      <c r="C57" t="inlineStr">
        <is>
          <t>KMEW ｾﾗﾃﾞｨｰﾙ16･親水ﾊﾟﾜｰｺｰﾄ</t>
        </is>
      </c>
      <c r="E57" t="n">
        <v>108</v>
      </c>
      <c r="F57" t="inlineStr">
        <is>
          <t>枚</t>
        </is>
      </c>
      <c r="K57">
        <f>INDEX('設定'!$G$23:$G$34,B57)</f>
        <v/>
      </c>
      <c r="L57">
        <f>IF(K57&lt;&gt;1,0,IF(OR(A57="T",A57="S",A57="B"),1,IF(AND(OR(I57="",I57&lt;='設定'!$K$2),OR(J57="",ISNUMBER(SEARCH('設定'!$K$3,J57)))),1,0)))</f>
        <v/>
      </c>
      <c r="M57">
        <f>IF(A57&lt;&gt;"I","",IF(G57="",E57,IFERROR(IF(VLOOKUP(G57,'設定'!$A$9:$B$18,2,FALSE)="",E57,ROUND(VLOOKUP(G57,'設定'!$A$9:$B$18,2,FALSE)*H57,2)),E57)))</f>
        <v/>
      </c>
      <c r="N57">
        <f>IF(L57=1,COUNTIF(L$2:L57,1),"")</f>
        <v/>
      </c>
    </row>
    <row r="58">
      <c r="A58" t="inlineStr">
        <is>
          <t>I</t>
        </is>
      </c>
      <c r="B58" t="n">
        <v>5</v>
      </c>
      <c r="C58" t="inlineStr">
        <is>
          <t>同質出隅 L=455</t>
        </is>
      </c>
      <c r="E58" t="n">
        <v>58</v>
      </c>
      <c r="F58" t="inlineStr">
        <is>
          <t>本</t>
        </is>
      </c>
      <c r="K58">
        <f>INDEX('設定'!$G$23:$G$34,B58)</f>
        <v/>
      </c>
      <c r="L58">
        <f>IF(K58&lt;&gt;1,0,IF(OR(A58="T",A58="S",A58="B"),1,IF(AND(OR(I58="",I58&lt;='設定'!$K$2),OR(J58="",ISNUMBER(SEARCH('設定'!$K$3,J58)))),1,0)))</f>
        <v/>
      </c>
      <c r="M58">
        <f>IF(A58&lt;&gt;"I","",IF(G58="",E58,IFERROR(IF(VLOOKUP(G58,'設定'!$A$9:$B$18,2,FALSE)="",E58,ROUND(VLOOKUP(G58,'設定'!$A$9:$B$18,2,FALSE)*H58,2)),E58)))</f>
        <v/>
      </c>
      <c r="N58">
        <f>IF(L58=1,COUNTIF(L$2:L58,1),"")</f>
        <v/>
      </c>
    </row>
    <row r="59">
      <c r="A59" t="inlineStr">
        <is>
          <t>I</t>
        </is>
      </c>
      <c r="B59" t="n">
        <v>5</v>
      </c>
      <c r="C59" t="inlineStr">
        <is>
          <t>横張り用ﾛﾝｸﾞｽﾀｰﾀｰ5㎜</t>
        </is>
      </c>
      <c r="E59" t="n">
        <v>12</v>
      </c>
      <c r="F59" t="inlineStr">
        <is>
          <t>本</t>
        </is>
      </c>
      <c r="K59">
        <f>INDEX('設定'!$G$23:$G$34,B59)</f>
        <v/>
      </c>
      <c r="L59">
        <f>IF(K59&lt;&gt;1,0,IF(OR(A59="T",A59="S",A59="B"),1,IF(AND(OR(I59="",I59&lt;='設定'!$K$2),OR(J59="",ISNUMBER(SEARCH('設定'!$K$3,J59)))),1,0)))</f>
        <v/>
      </c>
      <c r="M59">
        <f>IF(A59&lt;&gt;"I","",IF(G59="",E59,IFERROR(IF(VLOOKUP(G59,'設定'!$A$9:$B$18,2,FALSE)="",E59,ROUND(VLOOKUP(G59,'設定'!$A$9:$B$18,2,FALSE)*H59,2)),E59)))</f>
        <v/>
      </c>
      <c r="N59">
        <f>IF(L59=1,COUNTIF(L$2:L59,1),"")</f>
        <v/>
      </c>
    </row>
    <row r="60">
      <c r="A60" t="inlineStr">
        <is>
          <t>I</t>
        </is>
      </c>
      <c r="B60" t="n">
        <v>5</v>
      </c>
      <c r="C60" t="inlineStr">
        <is>
          <t>縦・横張り用留め金具5㎜</t>
        </is>
      </c>
      <c r="D60" t="inlineStr">
        <is>
          <t>平板用</t>
        </is>
      </c>
      <c r="E60" t="n">
        <v>11</v>
      </c>
      <c r="F60" t="inlineStr">
        <is>
          <t>袋</t>
        </is>
      </c>
      <c r="K60">
        <f>INDEX('設定'!$G$23:$G$34,B60)</f>
        <v/>
      </c>
      <c r="L60">
        <f>IF(K60&lt;&gt;1,0,IF(OR(A60="T",A60="S",A60="B"),1,IF(AND(OR(I60="",I60&lt;='設定'!$K$2),OR(J60="",ISNUMBER(SEARCH('設定'!$K$3,J60)))),1,0)))</f>
        <v/>
      </c>
      <c r="M60">
        <f>IF(A60&lt;&gt;"I","",IF(G60="",E60,IFERROR(IF(VLOOKUP(G60,'設定'!$A$9:$B$18,2,FALSE)="",E60,ROUND(VLOOKUP(G60,'設定'!$A$9:$B$18,2,FALSE)*H60,2)),E60)))</f>
        <v/>
      </c>
      <c r="N60">
        <f>IF(L60=1,COUNTIF(L$2:L60,1),"")</f>
        <v/>
      </c>
    </row>
    <row r="61">
      <c r="A61" t="inlineStr">
        <is>
          <t>I</t>
        </is>
      </c>
      <c r="B61" t="n">
        <v>5</v>
      </c>
      <c r="C61" t="inlineStr">
        <is>
          <t>横張り用留め金具5㎜</t>
        </is>
      </c>
      <c r="D61" t="inlineStr">
        <is>
          <t>出隅用</t>
        </is>
      </c>
      <c r="E61" t="n">
        <v>3</v>
      </c>
      <c r="F61" t="inlineStr">
        <is>
          <t>袋</t>
        </is>
      </c>
      <c r="K61">
        <f>INDEX('設定'!$G$23:$G$34,B61)</f>
        <v/>
      </c>
      <c r="L61">
        <f>IF(K61&lt;&gt;1,0,IF(OR(A61="T",A61="S",A61="B"),1,IF(AND(OR(I61="",I61&lt;='設定'!$K$2),OR(J61="",ISNUMBER(SEARCH('設定'!$K$3,J61)))),1,0)))</f>
        <v/>
      </c>
      <c r="M61">
        <f>IF(A61&lt;&gt;"I","",IF(G61="",E61,IFERROR(IF(VLOOKUP(G61,'設定'!$A$9:$B$18,2,FALSE)="",E61,ROUND(VLOOKUP(G61,'設定'!$A$9:$B$18,2,FALSE)*H61,2)),E61)))</f>
        <v/>
      </c>
      <c r="N61">
        <f>IF(L61=1,COUNTIF(L$2:L61,1),"")</f>
        <v/>
      </c>
    </row>
    <row r="62">
      <c r="A62" t="inlineStr">
        <is>
          <t>I</t>
        </is>
      </c>
      <c r="B62" t="n">
        <v>5</v>
      </c>
      <c r="C62" t="inlineStr">
        <is>
          <t>ｽﾍﾟｰｻｰ5</t>
        </is>
      </c>
      <c r="D62" t="inlineStr">
        <is>
          <t>(20本入1箱）</t>
        </is>
      </c>
      <c r="E62" t="n">
        <v>1</v>
      </c>
      <c r="F62" t="inlineStr">
        <is>
          <t>箱</t>
        </is>
      </c>
      <c r="K62">
        <f>INDEX('設定'!$G$23:$G$34,B62)</f>
        <v/>
      </c>
      <c r="L62">
        <f>IF(K62&lt;&gt;1,0,IF(OR(A62="T",A62="S",A62="B"),1,IF(AND(OR(I62="",I62&lt;='設定'!$K$2),OR(J62="",ISNUMBER(SEARCH('設定'!$K$3,J62)))),1,0)))</f>
        <v/>
      </c>
      <c r="M62">
        <f>IF(A62&lt;&gt;"I","",IF(G62="",E62,IFERROR(IF(VLOOKUP(G62,'設定'!$A$9:$B$18,2,FALSE)="",E62,ROUND(VLOOKUP(G62,'設定'!$A$9:$B$18,2,FALSE)*H62,2)),E62)))</f>
        <v/>
      </c>
      <c r="N62">
        <f>IF(L62=1,COUNTIF(L$2:L62,1),"")</f>
        <v/>
      </c>
    </row>
    <row r="63">
      <c r="A63" t="inlineStr">
        <is>
          <t>I</t>
        </is>
      </c>
      <c r="B63" t="n">
        <v>5</v>
      </c>
      <c r="C63" t="inlineStr">
        <is>
          <t>留め金具用ﾋﾞｽ25</t>
        </is>
      </c>
      <c r="D63" t="inlineStr">
        <is>
          <t>木下地用</t>
        </is>
      </c>
      <c r="E63" t="n">
        <v>2</v>
      </c>
      <c r="F63" t="inlineStr">
        <is>
          <t>箱</t>
        </is>
      </c>
      <c r="K63">
        <f>INDEX('設定'!$G$23:$G$34,B63)</f>
        <v/>
      </c>
      <c r="L63">
        <f>IF(K63&lt;&gt;1,0,IF(OR(A63="T",A63="S",A63="B"),1,IF(AND(OR(I63="",I63&lt;='設定'!$K$2),OR(J63="",ISNUMBER(SEARCH('設定'!$K$3,J63)))),1,0)))</f>
        <v/>
      </c>
      <c r="M63">
        <f>IF(A63&lt;&gt;"I","",IF(G63="",E63,IFERROR(IF(VLOOKUP(G63,'設定'!$A$9:$B$18,2,FALSE)="",E63,ROUND(VLOOKUP(G63,'設定'!$A$9:$B$18,2,FALSE)*H63,2)),E63)))</f>
        <v/>
      </c>
      <c r="N63">
        <f>IF(L63=1,COUNTIF(L$2:L63,1),"")</f>
        <v/>
      </c>
    </row>
    <row r="64">
      <c r="A64" t="inlineStr">
        <is>
          <t>I</t>
        </is>
      </c>
      <c r="B64" t="n">
        <v>5</v>
      </c>
      <c r="C64" t="inlineStr">
        <is>
          <t>ﾊｯﾄｼﾞｮｲﾅｰ</t>
        </is>
      </c>
      <c r="E64" t="n">
        <v>35</v>
      </c>
      <c r="F64" t="inlineStr">
        <is>
          <t>本</t>
        </is>
      </c>
      <c r="K64">
        <f>INDEX('設定'!$G$23:$G$34,B64)</f>
        <v/>
      </c>
      <c r="L64">
        <f>IF(K64&lt;&gt;1,0,IF(OR(A64="T",A64="S",A64="B"),1,IF(AND(OR(I64="",I64&lt;='設定'!$K$2),OR(J64="",ISNUMBER(SEARCH('設定'!$K$3,J64)))),1,0)))</f>
        <v/>
      </c>
      <c r="M64">
        <f>IF(A64&lt;&gt;"I","",IF(G64="",E64,IFERROR(IF(VLOOKUP(G64,'設定'!$A$9:$B$18,2,FALSE)="",E64,ROUND(VLOOKUP(G64,'設定'!$A$9:$B$18,2,FALSE)*H64,2)),E64)))</f>
        <v/>
      </c>
      <c r="N64">
        <f>IF(L64=1,COUNTIF(L$2:L64,1),"")</f>
        <v/>
      </c>
    </row>
    <row r="65">
      <c r="A65" t="inlineStr">
        <is>
          <t>I</t>
        </is>
      </c>
      <c r="B65" t="n">
        <v>5</v>
      </c>
      <c r="C65" t="inlineStr">
        <is>
          <t>ﾘﾝｸﾞ釘45</t>
        </is>
      </c>
      <c r="D65" t="inlineStr">
        <is>
          <t>R400 40本入</t>
        </is>
      </c>
      <c r="E65" t="n">
        <v>4</v>
      </c>
      <c r="F65" t="inlineStr">
        <is>
          <t>袋</t>
        </is>
      </c>
      <c r="K65">
        <f>INDEX('設定'!$G$23:$G$34,B65)</f>
        <v/>
      </c>
      <c r="L65">
        <f>IF(K65&lt;&gt;1,0,IF(OR(A65="T",A65="S",A65="B"),1,IF(AND(OR(I65="",I65&lt;='設定'!$K$2),OR(J65="",ISNUMBER(SEARCH('設定'!$K$3,J65)))),1,0)))</f>
        <v/>
      </c>
      <c r="M65">
        <f>IF(A65&lt;&gt;"I","",IF(G65="",E65,IFERROR(IF(VLOOKUP(G65,'設定'!$A$9:$B$18,2,FALSE)="",E65,ROUND(VLOOKUP(G65,'設定'!$A$9:$B$18,2,FALSE)*H65,2)),E65)))</f>
        <v/>
      </c>
      <c r="N65">
        <f>IF(L65=1,COUNTIF(L$2:L65,1),"")</f>
        <v/>
      </c>
    </row>
    <row r="66">
      <c r="A66" t="inlineStr">
        <is>
          <t>I</t>
        </is>
      </c>
      <c r="B66" t="n">
        <v>5</v>
      </c>
      <c r="C66" t="inlineStr">
        <is>
          <t>補修塗料 ﾄｯﾌﾟ</t>
        </is>
      </c>
      <c r="E66" t="n">
        <v>2</v>
      </c>
      <c r="F66" t="inlineStr">
        <is>
          <t>箱</t>
        </is>
      </c>
      <c r="K66">
        <f>INDEX('設定'!$G$23:$G$34,B66)</f>
        <v/>
      </c>
      <c r="L66">
        <f>IF(K66&lt;&gt;1,0,IF(OR(A66="T",A66="S",A66="B"),1,IF(AND(OR(I66="",I66&lt;='設定'!$K$2),OR(J66="",ISNUMBER(SEARCH('設定'!$K$3,J66)))),1,0)))</f>
        <v/>
      </c>
      <c r="M66">
        <f>IF(A66&lt;&gt;"I","",IF(G66="",E66,IFERROR(IF(VLOOKUP(G66,'設定'!$A$9:$B$18,2,FALSE)="",E66,ROUND(VLOOKUP(G66,'設定'!$A$9:$B$18,2,FALSE)*H66,2)),E66)))</f>
        <v/>
      </c>
      <c r="N66">
        <f>IF(L66=1,COUNTIF(L$2:L66,1),"")</f>
        <v/>
      </c>
    </row>
    <row r="67">
      <c r="A67" t="inlineStr">
        <is>
          <t>I</t>
        </is>
      </c>
      <c r="B67" t="n">
        <v>5</v>
      </c>
      <c r="C67" t="inlineStr">
        <is>
          <t>補修塗料 ﾍﾞｰｽ</t>
        </is>
      </c>
      <c r="E67" t="n">
        <v>1</v>
      </c>
      <c r="F67" t="inlineStr">
        <is>
          <t>箱</t>
        </is>
      </c>
      <c r="K67">
        <f>INDEX('設定'!$G$23:$G$34,B67)</f>
        <v/>
      </c>
      <c r="L67">
        <f>IF(K67&lt;&gt;1,0,IF(OR(A67="T",A67="S",A67="B"),1,IF(AND(OR(I67="",I67&lt;='設定'!$K$2),OR(J67="",ISNUMBER(SEARCH('設定'!$K$3,J67)))),1,0)))</f>
        <v/>
      </c>
      <c r="M67">
        <f>IF(A67&lt;&gt;"I","",IF(G67="",E67,IFERROR(IF(VLOOKUP(G67,'設定'!$A$9:$B$18,2,FALSE)="",E67,ROUND(VLOOKUP(G67,'設定'!$A$9:$B$18,2,FALSE)*H67,2)),E67)))</f>
        <v/>
      </c>
      <c r="N67">
        <f>IF(L67=1,COUNTIF(L$2:L67,1),"")</f>
        <v/>
      </c>
    </row>
    <row r="68">
      <c r="A68" t="inlineStr">
        <is>
          <t>I</t>
        </is>
      </c>
      <c r="B68" t="n">
        <v>5</v>
      </c>
      <c r="C68" t="inlineStr">
        <is>
          <t>運賃</t>
        </is>
      </c>
      <c r="E68" t="n">
        <v>1</v>
      </c>
      <c r="F68" t="inlineStr">
        <is>
          <t>式</t>
        </is>
      </c>
      <c r="K68">
        <f>INDEX('設定'!$G$23:$G$34,B68)</f>
        <v/>
      </c>
      <c r="L68">
        <f>IF(K68&lt;&gt;1,0,IF(OR(A68="T",A68="S",A68="B"),1,IF(AND(OR(I68="",I68&lt;='設定'!$K$2),OR(J68="",ISNUMBER(SEARCH('設定'!$K$3,J68)))),1,0)))</f>
        <v/>
      </c>
      <c r="M68">
        <f>IF(A68&lt;&gt;"I","",IF(G68="",E68,IFERROR(IF(VLOOKUP(G68,'設定'!$A$9:$B$18,2,FALSE)="",E68,ROUND(VLOOKUP(G68,'設定'!$A$9:$B$18,2,FALSE)*H68,2)),E68)))</f>
        <v/>
      </c>
      <c r="N68">
        <f>IF(L68=1,COUNTIF(L$2:L68,1),"")</f>
        <v/>
      </c>
    </row>
    <row r="69">
      <c r="A69" t="inlineStr">
        <is>
          <t>I</t>
        </is>
      </c>
      <c r="B69" t="n">
        <v>5</v>
      </c>
      <c r="C69" t="inlineStr">
        <is>
          <t>12.5㎜ﾀｲｶﾎﾞｰﾄﾞ</t>
        </is>
      </c>
      <c r="D69" t="inlineStr">
        <is>
          <t>910*1820</t>
        </is>
      </c>
      <c r="E69" t="n">
        <v>220</v>
      </c>
      <c r="F69" t="inlineStr">
        <is>
          <t>枚</t>
        </is>
      </c>
      <c r="K69">
        <f>INDEX('設定'!$G$23:$G$34,B69)</f>
        <v/>
      </c>
      <c r="L69">
        <f>IF(K69&lt;&gt;1,0,IF(OR(A69="T",A69="S",A69="B"),1,IF(AND(OR(I69="",I69&lt;='設定'!$K$2),OR(J69="",ISNUMBER(SEARCH('設定'!$K$3,J69)))),1,0)))</f>
        <v/>
      </c>
      <c r="M69">
        <f>IF(A69&lt;&gt;"I","",IF(G69="",E69,IFERROR(IF(VLOOKUP(G69,'設定'!$A$9:$B$18,2,FALSE)="",E69,ROUND(VLOOKUP(G69,'設定'!$A$9:$B$18,2,FALSE)*H69,2)),E69)))</f>
        <v/>
      </c>
      <c r="N69">
        <f>IF(L69=1,COUNTIF(L$2:L69,1),"")</f>
        <v/>
      </c>
    </row>
    <row r="70">
      <c r="A70" t="inlineStr">
        <is>
          <t>I</t>
        </is>
      </c>
      <c r="B70" t="n">
        <v>5</v>
      </c>
      <c r="C70" t="inlineStr">
        <is>
          <t>9.5㎜ﾀｲｶﾎﾞｰﾄﾞ</t>
        </is>
      </c>
      <c r="D70" t="inlineStr">
        <is>
          <t>910*1820</t>
        </is>
      </c>
      <c r="E70" t="n">
        <v>80</v>
      </c>
      <c r="F70" t="inlineStr">
        <is>
          <t>枚</t>
        </is>
      </c>
      <c r="K70">
        <f>INDEX('設定'!$G$23:$G$34,B70)</f>
        <v/>
      </c>
      <c r="L70">
        <f>IF(K70&lt;&gt;1,0,IF(OR(A70="T",A70="S",A70="B"),1,IF(AND(OR(I70="",I70&lt;='設定'!$K$2),OR(J70="",ISNUMBER(SEARCH('設定'!$K$3,J70)))),1,0)))</f>
        <v/>
      </c>
      <c r="M70">
        <f>IF(A70&lt;&gt;"I","",IF(G70="",E70,IFERROR(IF(VLOOKUP(G70,'設定'!$A$9:$B$18,2,FALSE)="",E70,ROUND(VLOOKUP(G70,'設定'!$A$9:$B$18,2,FALSE)*H70,2)),E70)))</f>
        <v/>
      </c>
      <c r="N70">
        <f>IF(L70=1,COUNTIF(L$2:L70,1),"")</f>
        <v/>
      </c>
    </row>
    <row r="71">
      <c r="A71" t="inlineStr">
        <is>
          <t>I</t>
        </is>
      </c>
      <c r="B71" t="n">
        <v>5</v>
      </c>
      <c r="C71" t="inlineStr">
        <is>
          <t>構造用合板12㎜ﾗｰﾁ</t>
        </is>
      </c>
      <c r="D71" t="inlineStr">
        <is>
          <t>910*1820</t>
        </is>
      </c>
      <c r="E71" t="n">
        <v>78</v>
      </c>
      <c r="F71" t="inlineStr">
        <is>
          <t>枚</t>
        </is>
      </c>
      <c r="K71">
        <f>INDEX('設定'!$G$23:$G$34,B71)</f>
        <v/>
      </c>
      <c r="L71">
        <f>IF(K71&lt;&gt;1,0,IF(OR(A71="T",A71="S",A71="B"),1,IF(AND(OR(I71="",I71&lt;='設定'!$K$2),OR(J71="",ISNUMBER(SEARCH('設定'!$K$3,J71)))),1,0)))</f>
        <v/>
      </c>
      <c r="M71">
        <f>IF(A71&lt;&gt;"I","",IF(G71="",E71,IFERROR(IF(VLOOKUP(G71,'設定'!$A$9:$B$18,2,FALSE)="",E71,ROUND(VLOOKUP(G71,'設定'!$A$9:$B$18,2,FALSE)*H71,2)),E71)))</f>
        <v/>
      </c>
      <c r="N71">
        <f>IF(L71=1,COUNTIF(L$2:L71,1),"")</f>
        <v/>
      </c>
    </row>
    <row r="72">
      <c r="A72" t="inlineStr">
        <is>
          <t>I</t>
        </is>
      </c>
      <c r="B72" t="n">
        <v>5</v>
      </c>
      <c r="C72" t="inlineStr">
        <is>
          <t>12.5㎜ Mｸﾛｽ</t>
        </is>
      </c>
      <c r="E72" t="n">
        <v>10</v>
      </c>
      <c r="F72" t="inlineStr">
        <is>
          <t>枚</t>
        </is>
      </c>
      <c r="K72">
        <f>INDEX('設定'!$G$23:$G$34,B72)</f>
        <v/>
      </c>
      <c r="L72">
        <f>IF(K72&lt;&gt;1,0,IF(OR(A72="T",A72="S",A72="B"),1,IF(AND(OR(I72="",I72&lt;='設定'!$K$2),OR(J72="",ISNUMBER(SEARCH('設定'!$K$3,J72)))),1,0)))</f>
        <v/>
      </c>
      <c r="M72">
        <f>IF(A72&lt;&gt;"I","",IF(G72="",E72,IFERROR(IF(VLOOKUP(G72,'設定'!$A$9:$B$18,2,FALSE)="",E72,ROUND(VLOOKUP(G72,'設定'!$A$9:$B$18,2,FALSE)*H72,2)),E72)))</f>
        <v/>
      </c>
      <c r="N72">
        <f>IF(L72=1,COUNTIF(L$2:L72,1),"")</f>
        <v/>
      </c>
    </row>
    <row r="73">
      <c r="A73" t="inlineStr">
        <is>
          <t>I</t>
        </is>
      </c>
      <c r="B73" t="n">
        <v>5</v>
      </c>
      <c r="C73" t="inlineStr">
        <is>
          <t>9㎜ﾗﾜﾝﾍﾞﾆﾔ</t>
        </is>
      </c>
      <c r="D73" t="inlineStr">
        <is>
          <t>910*1820</t>
        </is>
      </c>
      <c r="E73" t="n">
        <v>11</v>
      </c>
      <c r="F73" t="inlineStr">
        <is>
          <t>枚</t>
        </is>
      </c>
      <c r="K73">
        <f>INDEX('設定'!$G$23:$G$34,B73)</f>
        <v/>
      </c>
      <c r="L73">
        <f>IF(K73&lt;&gt;1,0,IF(OR(A73="T",A73="S",A73="B"),1,IF(AND(OR(I73="",I73&lt;='設定'!$K$2),OR(J73="",ISNUMBER(SEARCH('設定'!$K$3,J73)))),1,0)))</f>
        <v/>
      </c>
      <c r="M73">
        <f>IF(A73&lt;&gt;"I","",IF(G73="",E73,IFERROR(IF(VLOOKUP(G73,'設定'!$A$9:$B$18,2,FALSE)="",E73,ROUND(VLOOKUP(G73,'設定'!$A$9:$B$18,2,FALSE)*H73,2)),E73)))</f>
        <v/>
      </c>
      <c r="N73">
        <f>IF(L73=1,COUNTIF(L$2:L73,1),"")</f>
        <v/>
      </c>
    </row>
    <row r="74">
      <c r="A74" t="inlineStr">
        <is>
          <t>I</t>
        </is>
      </c>
      <c r="B74" t="n">
        <v>5</v>
      </c>
      <c r="C74" t="inlineStr">
        <is>
          <t>ｲｸﾀ  銘木ﾗｽﾃｨｯｸ</t>
        </is>
      </c>
      <c r="E74" t="n">
        <v>34</v>
      </c>
      <c r="F74" t="inlineStr">
        <is>
          <t>ｹｰｽ</t>
        </is>
      </c>
      <c r="K74">
        <f>INDEX('設定'!$G$23:$G$34,B74)</f>
        <v/>
      </c>
      <c r="L74">
        <f>IF(K74&lt;&gt;1,0,IF(OR(A74="T",A74="S",A74="B"),1,IF(AND(OR(I74="",I74&lt;='設定'!$K$2),OR(J74="",ISNUMBER(SEARCH('設定'!$K$3,J74)))),1,0)))</f>
        <v/>
      </c>
      <c r="M74">
        <f>IF(A74&lt;&gt;"I","",IF(G74="",E74,IFERROR(IF(VLOOKUP(G74,'設定'!$A$9:$B$18,2,FALSE)="",E74,ROUND(VLOOKUP(G74,'設定'!$A$9:$B$18,2,FALSE)*H74,2)),E74)))</f>
        <v/>
      </c>
      <c r="N74">
        <f>IF(L74=1,COUNTIF(L$2:L74,1),"")</f>
        <v/>
      </c>
    </row>
    <row r="75">
      <c r="A75" t="inlineStr">
        <is>
          <t>I</t>
        </is>
      </c>
      <c r="B75" t="n">
        <v>5</v>
      </c>
      <c r="C75" t="inlineStr">
        <is>
          <t>ｲｸﾀ  ﾘﾌｫｰﾑ框6尺</t>
        </is>
      </c>
      <c r="E75" t="n">
        <v>1</v>
      </c>
      <c r="F75" t="inlineStr">
        <is>
          <t>ｾｯﾄ</t>
        </is>
      </c>
      <c r="K75">
        <f>INDEX('設定'!$G$23:$G$34,B75)</f>
        <v/>
      </c>
      <c r="L75">
        <f>IF(K75&lt;&gt;1,0,IF(OR(A75="T",A75="S",A75="B"),1,IF(AND(OR(I75="",I75&lt;='設定'!$K$2),OR(J75="",ISNUMBER(SEARCH('設定'!$K$3,J75)))),1,0)))</f>
        <v/>
      </c>
      <c r="M75">
        <f>IF(A75&lt;&gt;"I","",IF(G75="",E75,IFERROR(IF(VLOOKUP(G75,'設定'!$A$9:$B$18,2,FALSE)="",E75,ROUND(VLOOKUP(G75,'設定'!$A$9:$B$18,2,FALSE)*H75,2)),E75)))</f>
        <v/>
      </c>
      <c r="N75">
        <f>IF(L75=1,COUNTIF(L$2:L75,1),"")</f>
        <v/>
      </c>
    </row>
    <row r="76">
      <c r="A76" t="inlineStr">
        <is>
          <t>I</t>
        </is>
      </c>
      <c r="B76" t="n">
        <v>5</v>
      </c>
      <c r="C76" t="inlineStr">
        <is>
          <t>ﾏｯﾄｴｰｽHG16 100㎜ 3坪入</t>
        </is>
      </c>
      <c r="D76" t="inlineStr">
        <is>
          <t>壁用</t>
        </is>
      </c>
      <c r="E76" t="n">
        <v>21</v>
      </c>
      <c r="F76" t="inlineStr">
        <is>
          <t>ｾｯﾄ</t>
        </is>
      </c>
      <c r="K76">
        <f>INDEX('設定'!$G$23:$G$34,B76)</f>
        <v/>
      </c>
      <c r="L76">
        <f>IF(K76&lt;&gt;1,0,IF(OR(A76="T",A76="S",A76="B"),1,IF(AND(OR(I76="",I76&lt;='設定'!$K$2),OR(J76="",ISNUMBER(SEARCH('設定'!$K$3,J76)))),1,0)))</f>
        <v/>
      </c>
      <c r="M76">
        <f>IF(A76&lt;&gt;"I","",IF(G76="",E76,IFERROR(IF(VLOOKUP(G76,'設定'!$A$9:$B$18,2,FALSE)="",E76,ROUND(VLOOKUP(G76,'設定'!$A$9:$B$18,2,FALSE)*H76,2)),E76)))</f>
        <v/>
      </c>
      <c r="N76">
        <f>IF(L76=1,COUNTIF(L$2:L76,1),"")</f>
        <v/>
      </c>
    </row>
    <row r="77">
      <c r="A77" t="inlineStr">
        <is>
          <t>I</t>
        </is>
      </c>
      <c r="B77" t="n">
        <v>5</v>
      </c>
      <c r="C77" t="inlineStr">
        <is>
          <t>ｽﾀｲﾛﾌｫｰﾑFG 75㎜</t>
        </is>
      </c>
      <c r="D77" t="inlineStr">
        <is>
          <t>床用 910*1820</t>
        </is>
      </c>
      <c r="E77" t="n">
        <v>55</v>
      </c>
      <c r="F77" t="inlineStr">
        <is>
          <t>枚</t>
        </is>
      </c>
      <c r="K77">
        <f>INDEX('設定'!$G$23:$G$34,B77)</f>
        <v/>
      </c>
      <c r="L77">
        <f>IF(K77&lt;&gt;1,0,IF(OR(A77="T",A77="S",A77="B"),1,IF(AND(OR(I77="",I77&lt;='設定'!$K$2),OR(J77="",ISNUMBER(SEARCH('設定'!$K$3,J77)))),1,0)))</f>
        <v/>
      </c>
      <c r="M77">
        <f>IF(A77&lt;&gt;"I","",IF(G77="",E77,IFERROR(IF(VLOOKUP(G77,'設定'!$A$9:$B$18,2,FALSE)="",E77,ROUND(VLOOKUP(G77,'設定'!$A$9:$B$18,2,FALSE)*H77,2)),E77)))</f>
        <v/>
      </c>
      <c r="N77">
        <f>IF(L77=1,COUNTIF(L$2:L77,1),"")</f>
        <v/>
      </c>
    </row>
    <row r="78">
      <c r="A78" t="inlineStr">
        <is>
          <t>I</t>
        </is>
      </c>
      <c r="B78" t="n">
        <v>5</v>
      </c>
      <c r="C78" t="inlineStr">
        <is>
          <t>窓枠130(2本入）</t>
        </is>
      </c>
      <c r="E78" t="n">
        <v>11</v>
      </c>
      <c r="F78" t="inlineStr">
        <is>
          <t>ｾｯﾄ</t>
        </is>
      </c>
      <c r="K78">
        <f>INDEX('設定'!$G$23:$G$34,B78)</f>
        <v/>
      </c>
      <c r="L78">
        <f>IF(K78&lt;&gt;1,0,IF(OR(A78="T",A78="S",A78="B"),1,IF(AND(OR(I78="",I78&lt;='設定'!$K$2),OR(J78="",ISNUMBER(SEARCH('設定'!$K$3,J78)))),1,0)))</f>
        <v/>
      </c>
      <c r="M78">
        <f>IF(A78&lt;&gt;"I","",IF(G78="",E78,IFERROR(IF(VLOOKUP(G78,'設定'!$A$9:$B$18,2,FALSE)="",E78,ROUND(VLOOKUP(G78,'設定'!$A$9:$B$18,2,FALSE)*H78,2)),E78)))</f>
        <v/>
      </c>
      <c r="N78">
        <f>IF(L78=1,COUNTIF(L$2:L78,1),"")</f>
        <v/>
      </c>
    </row>
    <row r="79">
      <c r="A79" t="inlineStr">
        <is>
          <t>I</t>
        </is>
      </c>
      <c r="B79" t="n">
        <v>5</v>
      </c>
      <c r="C79" t="inlineStr">
        <is>
          <t>巾木2型 12入</t>
        </is>
      </c>
      <c r="E79" t="n">
        <v>3</v>
      </c>
      <c r="F79" t="inlineStr">
        <is>
          <t>ｹｰｽ</t>
        </is>
      </c>
      <c r="K79">
        <f>INDEX('設定'!$G$23:$G$34,B79)</f>
        <v/>
      </c>
      <c r="L79">
        <f>IF(K79&lt;&gt;1,0,IF(OR(A79="T",A79="S",A79="B"),1,IF(AND(OR(I79="",I79&lt;='設定'!$K$2),OR(J79="",ISNUMBER(SEARCH('設定'!$K$3,J79)))),1,0)))</f>
        <v/>
      </c>
      <c r="M79">
        <f>IF(A79&lt;&gt;"I","",IF(G79="",E79,IFERROR(IF(VLOOKUP(G79,'設定'!$A$9:$B$18,2,FALSE)="",E79,ROUND(VLOOKUP(G79,'設定'!$A$9:$B$18,2,FALSE)*H79,2)),E79)))</f>
        <v/>
      </c>
      <c r="N79">
        <f>IF(L79=1,COUNTIF(L$2:L79,1),"")</f>
        <v/>
      </c>
    </row>
    <row r="80">
      <c r="A80" t="inlineStr">
        <is>
          <t>I</t>
        </is>
      </c>
      <c r="B80" t="n">
        <v>5</v>
      </c>
      <c r="C80" t="inlineStr">
        <is>
          <t>ﾌｸﾋﾞ ｴｱﾃｯｸｽｼｰﾄ</t>
        </is>
      </c>
      <c r="E80" t="n">
        <v>7</v>
      </c>
      <c r="F80" t="inlineStr">
        <is>
          <t>巻</t>
        </is>
      </c>
      <c r="K80">
        <f>INDEX('設定'!$G$23:$G$34,B80)</f>
        <v/>
      </c>
      <c r="L80">
        <f>IF(K80&lt;&gt;1,0,IF(OR(A80="T",A80="S",A80="B"),1,IF(AND(OR(I80="",I80&lt;='設定'!$K$2),OR(J80="",ISNUMBER(SEARCH('設定'!$K$3,J80)))),1,0)))</f>
        <v/>
      </c>
      <c r="M80">
        <f>IF(A80&lt;&gt;"I","",IF(G80="",E80,IFERROR(IF(VLOOKUP(G80,'設定'!$A$9:$B$18,2,FALSE)="",E80,ROUND(VLOOKUP(G80,'設定'!$A$9:$B$18,2,FALSE)*H80,2)),E80)))</f>
        <v/>
      </c>
      <c r="N80">
        <f>IF(L80=1,COUNTIF(L$2:L80,1),"")</f>
        <v/>
      </c>
    </row>
    <row r="81">
      <c r="A81" t="inlineStr">
        <is>
          <t>I</t>
        </is>
      </c>
      <c r="B81" t="n">
        <v>5</v>
      </c>
      <c r="C81" t="inlineStr">
        <is>
          <t>ｴｰｽｸﾛｽ 031-AK(白)</t>
        </is>
      </c>
      <c r="D81" t="inlineStr">
        <is>
          <t>50㎜*20ⅿ</t>
        </is>
      </c>
      <c r="E81" t="n">
        <v>10</v>
      </c>
      <c r="F81" t="inlineStr">
        <is>
          <t>本</t>
        </is>
      </c>
      <c r="K81">
        <f>INDEX('設定'!$G$23:$G$34,B81)</f>
        <v/>
      </c>
      <c r="L81">
        <f>IF(K81&lt;&gt;1,0,IF(OR(A81="T",A81="S",A81="B"),1,IF(AND(OR(I81="",I81&lt;='設定'!$K$2),OR(J81="",ISNUMBER(SEARCH('設定'!$K$3,J81)))),1,0)))</f>
        <v/>
      </c>
      <c r="M81">
        <f>IF(A81&lt;&gt;"I","",IF(G81="",E81,IFERROR(IF(VLOOKUP(G81,'設定'!$A$9:$B$18,2,FALSE)="",E81,ROUND(VLOOKUP(G81,'設定'!$A$9:$B$18,2,FALSE)*H81,2)),E81)))</f>
        <v/>
      </c>
      <c r="N81">
        <f>IF(L81=1,COUNTIF(L$2:L81,1),"")</f>
        <v/>
      </c>
    </row>
    <row r="82">
      <c r="A82" t="inlineStr">
        <is>
          <t>I</t>
        </is>
      </c>
      <c r="B82" t="n">
        <v>5</v>
      </c>
      <c r="C82" t="inlineStr">
        <is>
          <t>ﾀｲｶﾞｰEXﾊｲﾊﾟｰ 9.5㎜</t>
        </is>
      </c>
      <c r="E82" t="n">
        <v>90</v>
      </c>
      <c r="F82" t="inlineStr">
        <is>
          <t>枚</t>
        </is>
      </c>
      <c r="K82">
        <f>INDEX('設定'!$G$23:$G$34,B82)</f>
        <v/>
      </c>
      <c r="L82">
        <f>IF(K82&lt;&gt;1,0,IF(OR(A82="T",A82="S",A82="B"),1,IF(AND(OR(I82="",I82&lt;='設定'!$K$2),OR(J82="",ISNUMBER(SEARCH('設定'!$K$3,J82)))),1,0)))</f>
        <v/>
      </c>
      <c r="M82">
        <f>IF(A82&lt;&gt;"I","",IF(G82="",E82,IFERROR(IF(VLOOKUP(G82,'設定'!$A$9:$B$18,2,FALSE)="",E82,ROUND(VLOOKUP(G82,'設定'!$A$9:$B$18,2,FALSE)*H82,2)),E82)))</f>
        <v/>
      </c>
      <c r="N82">
        <f>IF(L82=1,COUNTIF(L$2:L82,1),"")</f>
        <v/>
      </c>
    </row>
    <row r="83">
      <c r="A83" t="inlineStr">
        <is>
          <t>I</t>
        </is>
      </c>
      <c r="B83" t="n">
        <v>5</v>
      </c>
      <c r="C83" t="inlineStr">
        <is>
          <t>EXﾊｲﾊﾟｰ用連結釘</t>
        </is>
      </c>
      <c r="E83" t="n">
        <v>50</v>
      </c>
      <c r="F83" t="inlineStr">
        <is>
          <t>巻</t>
        </is>
      </c>
      <c r="K83">
        <f>INDEX('設定'!$G$23:$G$34,B83)</f>
        <v/>
      </c>
      <c r="L83">
        <f>IF(K83&lt;&gt;1,0,IF(OR(A83="T",A83="S",A83="B"),1,IF(AND(OR(I83="",I83&lt;='設定'!$K$2),OR(J83="",ISNUMBER(SEARCH('設定'!$K$3,J83)))),1,0)))</f>
        <v/>
      </c>
      <c r="M83">
        <f>IF(A83&lt;&gt;"I","",IF(G83="",E83,IFERROR(IF(VLOOKUP(G83,'設定'!$A$9:$B$18,2,FALSE)="",E83,ROUND(VLOOKUP(G83,'設定'!$A$9:$B$18,2,FALSE)*H83,2)),E83)))</f>
        <v/>
      </c>
      <c r="N83">
        <f>IF(L83=1,COUNTIF(L$2:L83,1),"")</f>
        <v/>
      </c>
    </row>
    <row r="84">
      <c r="A84" t="inlineStr">
        <is>
          <t>I</t>
        </is>
      </c>
      <c r="B84" t="n">
        <v>5</v>
      </c>
      <c r="C84" t="inlineStr">
        <is>
          <t>構造用合板 ﾗｰﾁ</t>
        </is>
      </c>
      <c r="D84" t="inlineStr">
        <is>
          <t>9*910*3030</t>
        </is>
      </c>
      <c r="E84" t="n">
        <v>10</v>
      </c>
      <c r="F84" t="inlineStr">
        <is>
          <t>枚</t>
        </is>
      </c>
      <c r="K84">
        <f>INDEX('設定'!$G$23:$G$34,B84)</f>
        <v/>
      </c>
      <c r="L84">
        <f>IF(K84&lt;&gt;1,0,IF(OR(A84="T",A84="S",A84="B"),1,IF(AND(OR(I84="",I84&lt;='設定'!$K$2),OR(J84="",ISNUMBER(SEARCH('設定'!$K$3,J84)))),1,0)))</f>
        <v/>
      </c>
      <c r="M84">
        <f>IF(A84&lt;&gt;"I","",IF(G84="",E84,IFERROR(IF(VLOOKUP(G84,'設定'!$A$9:$B$18,2,FALSE)="",E84,ROUND(VLOOKUP(G84,'設定'!$A$9:$B$18,2,FALSE)*H84,2)),E84)))</f>
        <v/>
      </c>
      <c r="N84">
        <f>IF(L84=1,COUNTIF(L$2:L84,1),"")</f>
        <v/>
      </c>
    </row>
    <row r="85">
      <c r="A85" t="inlineStr">
        <is>
          <t>I</t>
        </is>
      </c>
      <c r="B85" t="n">
        <v>5</v>
      </c>
      <c r="C85" t="inlineStr">
        <is>
          <t>ﾀｲｶﾞｰﾊｲﾊﾟｰﾊｰﾄﾞ Tﾈｸｽﾄ</t>
        </is>
      </c>
      <c r="E85" t="n">
        <v>10</v>
      </c>
      <c r="F85" t="inlineStr">
        <is>
          <t>枚</t>
        </is>
      </c>
      <c r="K85">
        <f>INDEX('設定'!$G$23:$G$34,B85)</f>
        <v/>
      </c>
      <c r="L85">
        <f>IF(K85&lt;&gt;1,0,IF(OR(A85="T",A85="S",A85="B"),1,IF(AND(OR(I85="",I85&lt;='設定'!$K$2),OR(J85="",ISNUMBER(SEARCH('設定'!$K$3,J85)))),1,0)))</f>
        <v/>
      </c>
      <c r="M85">
        <f>IF(A85&lt;&gt;"I","",IF(G85="",E85,IFERROR(IF(VLOOKUP(G85,'設定'!$A$9:$B$18,2,FALSE)="",E85,ROUND(VLOOKUP(G85,'設定'!$A$9:$B$18,2,FALSE)*H85,2)),E85)))</f>
        <v/>
      </c>
      <c r="N85">
        <f>IF(L85=1,COUNTIF(L$2:L85,1),"")</f>
        <v/>
      </c>
    </row>
    <row r="86">
      <c r="A86" t="inlineStr">
        <is>
          <t>I</t>
        </is>
      </c>
      <c r="B86" t="n">
        <v>5</v>
      </c>
      <c r="C86" t="inlineStr">
        <is>
          <t>ﾍﾞﾘﾃｨｽ建具、収納 一式</t>
        </is>
      </c>
      <c r="E86" t="n">
        <v>1</v>
      </c>
      <c r="F86" t="inlineStr">
        <is>
          <t>式</t>
        </is>
      </c>
      <c r="K86">
        <f>INDEX('設定'!$G$23:$G$34,B86)</f>
        <v/>
      </c>
      <c r="L86">
        <f>IF(K86&lt;&gt;1,0,IF(OR(A86="T",A86="S",A86="B"),1,IF(AND(OR(I86="",I86&lt;='設定'!$K$2),OR(J86="",ISNUMBER(SEARCH('設定'!$K$3,J86)))),1,0)))</f>
        <v/>
      </c>
      <c r="M86">
        <f>IF(A86&lt;&gt;"I","",IF(G86="",E86,IFERROR(IF(VLOOKUP(G86,'設定'!$A$9:$B$18,2,FALSE)="",E86,ROUND(VLOOKUP(G86,'設定'!$A$9:$B$18,2,FALSE)*H86,2)),E86)))</f>
        <v/>
      </c>
      <c r="N86">
        <f>IF(L86=1,COUNTIF(L$2:L86,1),"")</f>
        <v/>
      </c>
    </row>
    <row r="87">
      <c r="A87" t="inlineStr">
        <is>
          <t>I</t>
        </is>
      </c>
      <c r="B87" t="n">
        <v>5</v>
      </c>
      <c r="C87" t="inlineStr">
        <is>
          <t>ﾍﾞﾘﾃｨｽ階段</t>
        </is>
      </c>
      <c r="E87" t="n">
        <v>1</v>
      </c>
      <c r="F87" t="inlineStr">
        <is>
          <t>式</t>
        </is>
      </c>
      <c r="K87">
        <f>INDEX('設定'!$G$23:$G$34,B87)</f>
        <v/>
      </c>
      <c r="L87">
        <f>IF(K87&lt;&gt;1,0,IF(OR(A87="T",A87="S",A87="B"),1,IF(AND(OR(I87="",I87&lt;='設定'!$K$2),OR(J87="",ISNUMBER(SEARCH('設定'!$K$3,J87)))),1,0)))</f>
        <v/>
      </c>
      <c r="M87">
        <f>IF(A87&lt;&gt;"I","",IF(G87="",E87,IFERROR(IF(VLOOKUP(G87,'設定'!$A$9:$B$18,2,FALSE)="",E87,ROUND(VLOOKUP(G87,'設定'!$A$9:$B$18,2,FALSE)*H87,2)),E87)))</f>
        <v/>
      </c>
      <c r="N87">
        <f>IF(L87=1,COUNTIF(L$2:L87,1),"")</f>
        <v/>
      </c>
    </row>
    <row r="88">
      <c r="A88" t="inlineStr">
        <is>
          <t>I</t>
        </is>
      </c>
      <c r="B88" t="n">
        <v>5</v>
      </c>
      <c r="C88" t="inlineStr">
        <is>
          <t>荷揚費用</t>
        </is>
      </c>
      <c r="E88" t="n">
        <v>2</v>
      </c>
      <c r="F88" t="inlineStr">
        <is>
          <t>回</t>
        </is>
      </c>
      <c r="K88">
        <f>INDEX('設定'!$G$23:$G$34,B88)</f>
        <v/>
      </c>
      <c r="L88">
        <f>IF(K88&lt;&gt;1,0,IF(OR(A88="T",A88="S",A88="B"),1,IF(AND(OR(I88="",I88&lt;='設定'!$K$2),OR(J88="",ISNUMBER(SEARCH('設定'!$K$3,J88)))),1,0)))</f>
        <v/>
      </c>
      <c r="M88">
        <f>IF(A88&lt;&gt;"I","",IF(G88="",E88,IFERROR(IF(VLOOKUP(G88,'設定'!$A$9:$B$18,2,FALSE)="",E88,ROUND(VLOOKUP(G88,'設定'!$A$9:$B$18,2,FALSE)*H88,2)),E88)))</f>
        <v/>
      </c>
      <c r="N88">
        <f>IF(L88=1,COUNTIF(L$2:L88,1),"")</f>
        <v/>
      </c>
    </row>
    <row r="89">
      <c r="A89" t="inlineStr">
        <is>
          <t>I</t>
        </is>
      </c>
      <c r="B89" t="n">
        <v>5</v>
      </c>
      <c r="C89" t="inlineStr">
        <is>
          <t>南海ｱｰﾄﾗﾝﾊﾞｰ</t>
        </is>
      </c>
      <c r="D89" t="inlineStr">
        <is>
          <t>20*450*1450</t>
        </is>
      </c>
      <c r="E89" t="n">
        <v>2</v>
      </c>
      <c r="F89" t="inlineStr">
        <is>
          <t>枚</t>
        </is>
      </c>
      <c r="K89">
        <f>INDEX('設定'!$G$23:$G$34,B89)</f>
        <v/>
      </c>
      <c r="L89">
        <f>IF(K89&lt;&gt;1,0,IF(OR(A89="T",A89="S",A89="B"),1,IF(AND(OR(I89="",I89&lt;='設定'!$K$2),OR(J89="",ISNUMBER(SEARCH('設定'!$K$3,J89)))),1,0)))</f>
        <v/>
      </c>
      <c r="M89">
        <f>IF(A89&lt;&gt;"I","",IF(G89="",E89,IFERROR(IF(VLOOKUP(G89,'設定'!$A$9:$B$18,2,FALSE)="",E89,ROUND(VLOOKUP(G89,'設定'!$A$9:$B$18,2,FALSE)*H89,2)),E89)))</f>
        <v/>
      </c>
      <c r="N89">
        <f>IF(L89=1,COUNTIF(L$2:L89,1),"")</f>
        <v/>
      </c>
    </row>
    <row r="90">
      <c r="A90" t="inlineStr">
        <is>
          <t>I</t>
        </is>
      </c>
      <c r="B90" t="n">
        <v>5</v>
      </c>
      <c r="C90" t="inlineStr">
        <is>
          <t>南海ｱｰﾄﾗﾝﾊﾞｰ</t>
        </is>
      </c>
      <c r="D90" t="inlineStr">
        <is>
          <t>20*450*900</t>
        </is>
      </c>
      <c r="E90" t="n">
        <v>4</v>
      </c>
      <c r="F90" t="inlineStr">
        <is>
          <t>枚</t>
        </is>
      </c>
      <c r="K90">
        <f>INDEX('設定'!$G$23:$G$34,B90)</f>
        <v/>
      </c>
      <c r="L90">
        <f>IF(K90&lt;&gt;1,0,IF(OR(A90="T",A90="S",A90="B"),1,IF(AND(OR(I90="",I90&lt;='設定'!$K$2),OR(J90="",ISNUMBER(SEARCH('設定'!$K$3,J90)))),1,0)))</f>
        <v/>
      </c>
      <c r="M90">
        <f>IF(A90&lt;&gt;"I","",IF(G90="",E90,IFERROR(IF(VLOOKUP(G90,'設定'!$A$9:$B$18,2,FALSE)="",E90,ROUND(VLOOKUP(G90,'設定'!$A$9:$B$18,2,FALSE)*H90,2)),E90)))</f>
        <v/>
      </c>
      <c r="N90">
        <f>IF(L90=1,COUNTIF(L$2:L90,1),"")</f>
        <v/>
      </c>
    </row>
    <row r="91">
      <c r="A91" t="inlineStr">
        <is>
          <t>I</t>
        </is>
      </c>
      <c r="B91" t="n">
        <v>5</v>
      </c>
      <c r="C91" t="inlineStr">
        <is>
          <t>ｼﾝﾌﾟﾙｱﾙﾐ棚柱</t>
        </is>
      </c>
      <c r="E91" t="n">
        <v>3</v>
      </c>
      <c r="F91" t="inlineStr">
        <is>
          <t>ｾｯﾄ</t>
        </is>
      </c>
      <c r="K91">
        <f>INDEX('設定'!$G$23:$G$34,B91)</f>
        <v/>
      </c>
      <c r="L91">
        <f>IF(K91&lt;&gt;1,0,IF(OR(A91="T",A91="S",A91="B"),1,IF(AND(OR(I91="",I91&lt;='設定'!$K$2),OR(J91="",ISNUMBER(SEARCH('設定'!$K$3,J91)))),1,0)))</f>
        <v/>
      </c>
      <c r="M91">
        <f>IF(A91&lt;&gt;"I","",IF(G91="",E91,IFERROR(IF(VLOOKUP(G91,'設定'!$A$9:$B$18,2,FALSE)="",E91,ROUND(VLOOKUP(G91,'設定'!$A$9:$B$18,2,FALSE)*H91,2)),E91)))</f>
        <v/>
      </c>
      <c r="N91">
        <f>IF(L91=1,COUNTIF(L$2:L91,1),"")</f>
        <v/>
      </c>
    </row>
    <row r="92">
      <c r="A92" t="inlineStr">
        <is>
          <t>I</t>
        </is>
      </c>
      <c r="B92" t="n">
        <v>5</v>
      </c>
      <c r="C92" t="inlineStr">
        <is>
          <t>ﾀﾓ積層材</t>
        </is>
      </c>
      <c r="E92" t="n">
        <v>1</v>
      </c>
      <c r="F92" t="inlineStr">
        <is>
          <t>式</t>
        </is>
      </c>
      <c r="K92">
        <f>INDEX('設定'!$G$23:$G$34,B92)</f>
        <v/>
      </c>
      <c r="L92">
        <f>IF(K92&lt;&gt;1,0,IF(OR(A92="T",A92="S",A92="B"),1,IF(AND(OR(I92="",I92&lt;='設定'!$K$2),OR(J92="",ISNUMBER(SEARCH('設定'!$K$3,J92)))),1,0)))</f>
        <v/>
      </c>
      <c r="M92">
        <f>IF(A92&lt;&gt;"I","",IF(G92="",E92,IFERROR(IF(VLOOKUP(G92,'設定'!$A$9:$B$18,2,FALSE)="",E92,ROUND(VLOOKUP(G92,'設定'!$A$9:$B$18,2,FALSE)*H92,2)),E92)))</f>
        <v/>
      </c>
      <c r="N92">
        <f>IF(L92=1,COUNTIF(L$2:L92,1),"")</f>
        <v/>
      </c>
    </row>
    <row r="93">
      <c r="A93" t="inlineStr">
        <is>
          <t>I</t>
        </is>
      </c>
      <c r="B93" t="n">
        <v>5</v>
      </c>
      <c r="C93" t="inlineStr">
        <is>
          <t>ﾊｲﾗｯｸﾌﾈﾝ 6㎜</t>
        </is>
      </c>
      <c r="D93" t="inlineStr">
        <is>
          <t>910*1820</t>
        </is>
      </c>
      <c r="E93" t="n">
        <v>40</v>
      </c>
      <c r="F93" t="inlineStr">
        <is>
          <t>枚</t>
        </is>
      </c>
      <c r="K93">
        <f>INDEX('設定'!$G$23:$G$34,B93)</f>
        <v/>
      </c>
      <c r="L93">
        <f>IF(K93&lt;&gt;1,0,IF(OR(A93="T",A93="S",A93="B"),1,IF(AND(OR(I93="",I93&lt;='設定'!$K$2),OR(J93="",ISNUMBER(SEARCH('設定'!$K$3,J93)))),1,0)))</f>
        <v/>
      </c>
      <c r="M93">
        <f>IF(A93&lt;&gt;"I","",IF(G93="",E93,IFERROR(IF(VLOOKUP(G93,'設定'!$A$9:$B$18,2,FALSE)="",E93,ROUND(VLOOKUP(G93,'設定'!$A$9:$B$18,2,FALSE)*H93,2)),E93)))</f>
        <v/>
      </c>
      <c r="N93">
        <f>IF(L93=1,COUNTIF(L$2:L93,1),"")</f>
        <v/>
      </c>
    </row>
    <row r="94">
      <c r="A94" t="inlineStr">
        <is>
          <t>I</t>
        </is>
      </c>
      <c r="B94" t="n">
        <v>5</v>
      </c>
      <c r="C94" t="inlineStr">
        <is>
          <t>ﾊｯﾄ型 白 1820㎜</t>
        </is>
      </c>
      <c r="E94" t="n">
        <v>40</v>
      </c>
      <c r="F94" t="inlineStr">
        <is>
          <t>本</t>
        </is>
      </c>
      <c r="K94">
        <f>INDEX('設定'!$G$23:$G$34,B94)</f>
        <v/>
      </c>
      <c r="L94">
        <f>IF(K94&lt;&gt;1,0,IF(OR(A94="T",A94="S",A94="B"),1,IF(AND(OR(I94="",I94&lt;='設定'!$K$2),OR(J94="",ISNUMBER(SEARCH('設定'!$K$3,J94)))),1,0)))</f>
        <v/>
      </c>
      <c r="M94">
        <f>IF(A94&lt;&gt;"I","",IF(G94="",E94,IFERROR(IF(VLOOKUP(G94,'設定'!$A$9:$B$18,2,FALSE)="",E94,ROUND(VLOOKUP(G94,'設定'!$A$9:$B$18,2,FALSE)*H94,2)),E94)))</f>
        <v/>
      </c>
      <c r="N94">
        <f>IF(L94=1,COUNTIF(L$2:L94,1),"")</f>
        <v/>
      </c>
    </row>
    <row r="95">
      <c r="A95" t="inlineStr">
        <is>
          <t>I</t>
        </is>
      </c>
      <c r="B95" t="n">
        <v>5</v>
      </c>
      <c r="C95" t="inlineStr">
        <is>
          <t>ﾌｸﾋﾞ鋼製束 N460T</t>
        </is>
      </c>
      <c r="E95" t="n">
        <v>50</v>
      </c>
      <c r="F95" t="inlineStr">
        <is>
          <t>本</t>
        </is>
      </c>
      <c r="K95">
        <f>INDEX('設定'!$G$23:$G$34,B95)</f>
        <v/>
      </c>
      <c r="L95">
        <f>IF(K95&lt;&gt;1,0,IF(OR(A95="T",A95="S",A95="B"),1,IF(AND(OR(I95="",I95&lt;='設定'!$K$2),OR(J95="",ISNUMBER(SEARCH('設定'!$K$3,J95)))),1,0)))</f>
        <v/>
      </c>
      <c r="M95">
        <f>IF(A95&lt;&gt;"I","",IF(G95="",E95,IFERROR(IF(VLOOKUP(G95,'設定'!$A$9:$B$18,2,FALSE)="",E95,ROUND(VLOOKUP(G95,'設定'!$A$9:$B$18,2,FALSE)*H95,2)),E95)))</f>
        <v/>
      </c>
      <c r="N95">
        <f>IF(L95=1,COUNTIF(L$2:L95,1),"")</f>
        <v/>
      </c>
    </row>
    <row r="96">
      <c r="A96" t="inlineStr">
        <is>
          <t>I</t>
        </is>
      </c>
      <c r="B96" t="n">
        <v>5</v>
      </c>
      <c r="C96" t="inlineStr">
        <is>
          <t>枕棚ﾎﾜｲﾄ 910M 6尺ﾊﾟｲﾌﾟ付</t>
        </is>
      </c>
      <c r="E96" t="n">
        <v>1</v>
      </c>
      <c r="F96" t="inlineStr">
        <is>
          <t>ｾｯﾄ</t>
        </is>
      </c>
      <c r="K96">
        <f>INDEX('設定'!$G$23:$G$34,B96)</f>
        <v/>
      </c>
      <c r="L96">
        <f>IF(K96&lt;&gt;1,0,IF(OR(A96="T",A96="S",A96="B"),1,IF(AND(OR(I96="",I96&lt;='設定'!$K$2),OR(J96="",ISNUMBER(SEARCH('設定'!$K$3,J96)))),1,0)))</f>
        <v/>
      </c>
      <c r="M96">
        <f>IF(A96&lt;&gt;"I","",IF(G96="",E96,IFERROR(IF(VLOOKUP(G96,'設定'!$A$9:$B$18,2,FALSE)="",E96,ROUND(VLOOKUP(G96,'設定'!$A$9:$B$18,2,FALSE)*H96,2)),E96)))</f>
        <v/>
      </c>
      <c r="N96">
        <f>IF(L96=1,COUNTIF(L$2:L96,1),"")</f>
        <v/>
      </c>
    </row>
    <row r="97">
      <c r="A97" t="inlineStr">
        <is>
          <t>I</t>
        </is>
      </c>
      <c r="B97" t="n">
        <v>5</v>
      </c>
      <c r="C97" t="inlineStr">
        <is>
          <t>枕棚ﾎﾜｲﾄ 910M 4.5尺ﾊﾟｲﾌﾟ付</t>
        </is>
      </c>
      <c r="E97" t="n">
        <v>2</v>
      </c>
      <c r="F97" t="inlineStr">
        <is>
          <t>ｾｯﾄ</t>
        </is>
      </c>
      <c r="K97">
        <f>INDEX('設定'!$G$23:$G$34,B97)</f>
        <v/>
      </c>
      <c r="L97">
        <f>IF(K97&lt;&gt;1,0,IF(OR(A97="T",A97="S",A97="B"),1,IF(AND(OR(I97="",I97&lt;='設定'!$K$2),OR(J97="",ISNUMBER(SEARCH('設定'!$K$3,J97)))),1,0)))</f>
        <v/>
      </c>
      <c r="M97">
        <f>IF(A97&lt;&gt;"I","",IF(G97="",E97,IFERROR(IF(VLOOKUP(G97,'設定'!$A$9:$B$18,2,FALSE)="",E97,ROUND(VLOOKUP(G97,'設定'!$A$9:$B$18,2,FALSE)*H97,2)),E97)))</f>
        <v/>
      </c>
      <c r="N97">
        <f>IF(L97=1,COUNTIF(L$2:L97,1),"")</f>
        <v/>
      </c>
    </row>
    <row r="98">
      <c r="A98" t="inlineStr">
        <is>
          <t>I</t>
        </is>
      </c>
      <c r="B98" t="n">
        <v>5</v>
      </c>
      <c r="C98" t="inlineStr">
        <is>
          <t>中段ﾎﾜｲﾄ 910M 6尺</t>
        </is>
      </c>
      <c r="D98" t="inlineStr">
        <is>
          <t>1840*850*85</t>
        </is>
      </c>
      <c r="E98" t="n">
        <v>1</v>
      </c>
      <c r="F98" t="inlineStr">
        <is>
          <t>ｾｯﾄ</t>
        </is>
      </c>
      <c r="K98">
        <f>INDEX('設定'!$G$23:$G$34,B98)</f>
        <v/>
      </c>
      <c r="L98">
        <f>IF(K98&lt;&gt;1,0,IF(OR(A98="T",A98="S",A98="B"),1,IF(AND(OR(I98="",I98&lt;='設定'!$K$2),OR(J98="",ISNUMBER(SEARCH('設定'!$K$3,J98)))),1,0)))</f>
        <v/>
      </c>
      <c r="M98">
        <f>IF(A98&lt;&gt;"I","",IF(G98="",E98,IFERROR(IF(VLOOKUP(G98,'設定'!$A$9:$B$18,2,FALSE)="",E98,ROUND(VLOOKUP(G98,'設定'!$A$9:$B$18,2,FALSE)*H98,2)),E98)))</f>
        <v/>
      </c>
      <c r="N98">
        <f>IF(L98=1,COUNTIF(L$2:L98,1),"")</f>
        <v/>
      </c>
    </row>
    <row r="99">
      <c r="A99" t="inlineStr">
        <is>
          <t>I</t>
        </is>
      </c>
      <c r="B99" t="n">
        <v>5</v>
      </c>
      <c r="C99" t="inlineStr">
        <is>
          <t>L字ｺｰﾅｰ&amp;目地ｷｬｯﾌﾟ ﾎﾜｲﾄ柄枕棚用</t>
        </is>
      </c>
      <c r="E99" t="n">
        <v>2</v>
      </c>
      <c r="F99" t="inlineStr">
        <is>
          <t>ｾｯﾄ</t>
        </is>
      </c>
      <c r="K99">
        <f>INDEX('設定'!$G$23:$G$34,B99)</f>
        <v/>
      </c>
      <c r="L99">
        <f>IF(K99&lt;&gt;1,0,IF(OR(A99="T",A99="S",A99="B"),1,IF(AND(OR(I99="",I99&lt;='設定'!$K$2),OR(J99="",ISNUMBER(SEARCH('設定'!$K$3,J99)))),1,0)))</f>
        <v/>
      </c>
      <c r="M99">
        <f>IF(A99&lt;&gt;"I","",IF(G99="",E99,IFERROR(IF(VLOOKUP(G99,'設定'!$A$9:$B$18,2,FALSE)="",E99,ROUND(VLOOKUP(G99,'設定'!$A$9:$B$18,2,FALSE)*H99,2)),E99)))</f>
        <v/>
      </c>
      <c r="N99">
        <f>IF(L99=1,COUNTIF(L$2:L99,1),"")</f>
        <v/>
      </c>
    </row>
    <row r="100">
      <c r="A100" t="inlineStr">
        <is>
          <t>I</t>
        </is>
      </c>
      <c r="B100" t="n">
        <v>5</v>
      </c>
      <c r="C100" t="inlineStr">
        <is>
          <t>枕棚ﾎﾜｲﾄ 910M 3尺ﾊﾟｲﾌﾟ付</t>
        </is>
      </c>
      <c r="E100" t="n">
        <v>1</v>
      </c>
      <c r="F100" t="inlineStr">
        <is>
          <t>ｾｯﾄ</t>
        </is>
      </c>
      <c r="K100">
        <f>INDEX('設定'!$G$23:$G$34,B100)</f>
        <v/>
      </c>
      <c r="L100">
        <f>IF(K100&lt;&gt;1,0,IF(OR(A100="T",A100="S",A100="B"),1,IF(AND(OR(I100="",I100&lt;='設定'!$K$2),OR(J100="",ISNUMBER(SEARCH('設定'!$K$3,J100)))),1,0)))</f>
        <v/>
      </c>
      <c r="M100">
        <f>IF(A100&lt;&gt;"I","",IF(G100="",E100,IFERROR(IF(VLOOKUP(G100,'設定'!$A$9:$B$18,2,FALSE)="",E100,ROUND(VLOOKUP(G100,'設定'!$A$9:$B$18,2,FALSE)*H100,2)),E100)))</f>
        <v/>
      </c>
      <c r="N100">
        <f>IF(L100=1,COUNTIF(L$2:L100,1),"")</f>
        <v/>
      </c>
    </row>
    <row r="101">
      <c r="A101" t="inlineStr">
        <is>
          <t>I</t>
        </is>
      </c>
      <c r="B101" t="n">
        <v>5</v>
      </c>
      <c r="C101" t="inlineStr">
        <is>
          <t>枕棚ﾎﾜｲﾄ 910M 6尺ﾊﾟｲﾌﾟ付</t>
        </is>
      </c>
      <c r="E101" t="n">
        <v>1</v>
      </c>
      <c r="F101" t="inlineStr">
        <is>
          <t>ｾｯﾄ</t>
        </is>
      </c>
      <c r="K101">
        <f>INDEX('設定'!$G$23:$G$34,B101)</f>
        <v/>
      </c>
      <c r="L101">
        <f>IF(K101&lt;&gt;1,0,IF(OR(A101="T",A101="S",A101="B"),1,IF(AND(OR(I101="",I101&lt;='設定'!$K$2),OR(J101="",ISNUMBER(SEARCH('設定'!$K$3,J101)))),1,0)))</f>
        <v/>
      </c>
      <c r="M101">
        <f>IF(A101&lt;&gt;"I","",IF(G101="",E101,IFERROR(IF(VLOOKUP(G101,'設定'!$A$9:$B$18,2,FALSE)="",E101,ROUND(VLOOKUP(G101,'設定'!$A$9:$B$18,2,FALSE)*H101,2)),E101)))</f>
        <v/>
      </c>
      <c r="N101">
        <f>IF(L101=1,COUNTIF(L$2:L101,1),"")</f>
        <v/>
      </c>
    </row>
    <row r="102">
      <c r="A102" t="inlineStr">
        <is>
          <t>I</t>
        </is>
      </c>
      <c r="B102" t="n">
        <v>5</v>
      </c>
      <c r="C102" t="inlineStr">
        <is>
          <t>中段ﾎﾜｲﾄ 910M 6尺</t>
        </is>
      </c>
      <c r="D102" t="inlineStr">
        <is>
          <t>1840*850*85</t>
        </is>
      </c>
      <c r="E102" t="n">
        <v>1</v>
      </c>
      <c r="F102" t="inlineStr">
        <is>
          <t>ｾｯﾄ</t>
        </is>
      </c>
      <c r="K102">
        <f>INDEX('設定'!$G$23:$G$34,B102)</f>
        <v/>
      </c>
      <c r="L102">
        <f>IF(K102&lt;&gt;1,0,IF(OR(A102="T",A102="S",A102="B"),1,IF(AND(OR(I102="",I102&lt;='設定'!$K$2),OR(J102="",ISNUMBER(SEARCH('設定'!$K$3,J102)))),1,0)))</f>
        <v/>
      </c>
      <c r="M102">
        <f>IF(A102&lt;&gt;"I","",IF(G102="",E102,IFERROR(IF(VLOOKUP(G102,'設定'!$A$9:$B$18,2,FALSE)="",E102,ROUND(VLOOKUP(G102,'設定'!$A$9:$B$18,2,FALSE)*H102,2)),E102)))</f>
        <v/>
      </c>
      <c r="N102">
        <f>IF(L102=1,COUNTIF(L$2:L102,1),"")</f>
        <v/>
      </c>
    </row>
    <row r="103">
      <c r="A103" t="inlineStr">
        <is>
          <t>I</t>
        </is>
      </c>
      <c r="B103" t="n">
        <v>5</v>
      </c>
      <c r="C103" t="inlineStr">
        <is>
          <t>天井ウレタン吹付け</t>
        </is>
      </c>
      <c r="D103" t="inlineStr">
        <is>
          <t>A種-1H 厚130ｍｍ</t>
        </is>
      </c>
      <c r="E103" t="n">
        <v>65</v>
      </c>
      <c r="F103" t="inlineStr">
        <is>
          <t>㎡</t>
        </is>
      </c>
      <c r="G103" t="inlineStr">
        <is>
          <t>floor1_area</t>
        </is>
      </c>
      <c r="H103" t="n">
        <v>1</v>
      </c>
      <c r="K103">
        <f>INDEX('設定'!$G$23:$G$34,B103)</f>
        <v/>
      </c>
      <c r="L103">
        <f>IF(K103&lt;&gt;1,0,IF(OR(A103="T",A103="S",A103="B"),1,IF(AND(OR(I103="",I103&lt;='設定'!$K$2),OR(J103="",ISNUMBER(SEARCH('設定'!$K$3,J103)))),1,0)))</f>
        <v/>
      </c>
      <c r="M103">
        <f>IF(A103&lt;&gt;"I","",IF(G103="",E103,IFERROR(IF(VLOOKUP(G103,'設定'!$A$9:$B$18,2,FALSE)="",E103,ROUND(VLOOKUP(G103,'設定'!$A$9:$B$18,2,FALSE)*H103,2)),E103)))</f>
        <v/>
      </c>
      <c r="N103">
        <f>IF(L103=1,COUNTIF(L$2:L103,1),"")</f>
        <v/>
      </c>
    </row>
    <row r="104">
      <c r="A104" t="inlineStr">
        <is>
          <t>I</t>
        </is>
      </c>
      <c r="B104" t="n">
        <v>5</v>
      </c>
      <c r="C104" t="inlineStr">
        <is>
          <t>ｸﾛｽ貼り</t>
        </is>
      </c>
      <c r="E104" t="n">
        <v>670</v>
      </c>
      <c r="F104" t="inlineStr">
        <is>
          <t>ⅿ</t>
        </is>
      </c>
      <c r="G104" t="inlineStr">
        <is>
          <t>cloth_len</t>
        </is>
      </c>
      <c r="H104" t="n">
        <v>1</v>
      </c>
      <c r="K104">
        <f>INDEX('設定'!$G$23:$G$34,B104)</f>
        <v/>
      </c>
      <c r="L104">
        <f>IF(K104&lt;&gt;1,0,IF(OR(A104="T",A104="S",A104="B"),1,IF(AND(OR(I104="",I104&lt;='設定'!$K$2),OR(J104="",ISNUMBER(SEARCH('設定'!$K$3,J104)))),1,0)))</f>
        <v/>
      </c>
      <c r="M104">
        <f>IF(A104&lt;&gt;"I","",IF(G104="",E104,IFERROR(IF(VLOOKUP(G104,'設定'!$A$9:$B$18,2,FALSE)="",E104,ROUND(VLOOKUP(G104,'設定'!$A$9:$B$18,2,FALSE)*H104,2)),E104)))</f>
        <v/>
      </c>
      <c r="N104">
        <f>IF(L104=1,COUNTIF(L$2:L104,1),"")</f>
        <v/>
      </c>
    </row>
    <row r="105">
      <c r="A105" t="inlineStr">
        <is>
          <t>I</t>
        </is>
      </c>
      <c r="B105" t="n">
        <v>5</v>
      </c>
      <c r="C105" t="inlineStr">
        <is>
          <t>ﾌﾛｱﾀｲﾙ貼り</t>
        </is>
      </c>
      <c r="E105" t="n">
        <v>1</v>
      </c>
      <c r="F105" t="inlineStr">
        <is>
          <t>式</t>
        </is>
      </c>
      <c r="K105">
        <f>INDEX('設定'!$G$23:$G$34,B105)</f>
        <v/>
      </c>
      <c r="L105">
        <f>IF(K105&lt;&gt;1,0,IF(OR(A105="T",A105="S",A105="B"),1,IF(AND(OR(I105="",I105&lt;='設定'!$K$2),OR(J105="",ISNUMBER(SEARCH('設定'!$K$3,J105)))),1,0)))</f>
        <v/>
      </c>
      <c r="M105">
        <f>IF(A105&lt;&gt;"I","",IF(G105="",E105,IFERROR(IF(VLOOKUP(G105,'設定'!$A$9:$B$18,2,FALSE)="",E105,ROUND(VLOOKUP(G105,'設定'!$A$9:$B$18,2,FALSE)*H105,2)),E105)))</f>
        <v/>
      </c>
      <c r="N105">
        <f>IF(L105=1,COUNTIF(L$2:L105,1),"")</f>
        <v/>
      </c>
    </row>
    <row r="106">
      <c r="A106" t="inlineStr">
        <is>
          <t>I</t>
        </is>
      </c>
      <c r="B106" t="n">
        <v>5</v>
      </c>
      <c r="C106" t="inlineStr">
        <is>
          <t>コーナーテープ等</t>
        </is>
      </c>
      <c r="E106" t="n">
        <v>1</v>
      </c>
      <c r="F106" t="inlineStr">
        <is>
          <t>式</t>
        </is>
      </c>
      <c r="K106">
        <f>INDEX('設定'!$G$23:$G$34,B106)</f>
        <v/>
      </c>
      <c r="L106">
        <f>IF(K106&lt;&gt;1,0,IF(OR(A106="T",A106="S",A106="B"),1,IF(AND(OR(I106="",I106&lt;='設定'!$K$2),OR(J106="",ISNUMBER(SEARCH('設定'!$K$3,J106)))),1,0)))</f>
        <v/>
      </c>
      <c r="M106">
        <f>IF(A106&lt;&gt;"I","",IF(G106="",E106,IFERROR(IF(VLOOKUP(G106,'設定'!$A$9:$B$18,2,FALSE)="",E106,ROUND(VLOOKUP(G106,'設定'!$A$9:$B$18,2,FALSE)*H106,2)),E106)))</f>
        <v/>
      </c>
      <c r="N106">
        <f>IF(L106=1,COUNTIF(L$2:L106,1),"")</f>
        <v/>
      </c>
    </row>
    <row r="107">
      <c r="A107" t="inlineStr">
        <is>
          <t>S</t>
        </is>
      </c>
      <c r="B107" t="n">
        <v>5</v>
      </c>
      <c r="C107" t="inlineStr">
        <is>
          <t>小　計</t>
        </is>
      </c>
      <c r="K107">
        <f>INDEX('設定'!$G$23:$G$34,B107)</f>
        <v/>
      </c>
      <c r="L107">
        <f>IF(K107&lt;&gt;1,0,IF(OR(A107="T",A107="S",A107="B"),1,IF(AND(OR(I107="",I107&lt;='設定'!$K$2),OR(J107="",ISNUMBER(SEARCH('設定'!$K$3,J107)))),1,0)))</f>
        <v/>
      </c>
      <c r="M107">
        <f>IF(A107&lt;&gt;"I","",IF(G107="",E107,IFERROR(IF(VLOOKUP(G107,'設定'!$A$9:$B$18,2,FALSE)="",E107,ROUND(VLOOKUP(G107,'設定'!$A$9:$B$18,2,FALSE)*H107,2)),E107)))</f>
        <v/>
      </c>
      <c r="N107">
        <f>IF(L107=1,COUNTIF(L$2:L107,1),"")</f>
        <v/>
      </c>
    </row>
    <row r="108">
      <c r="A108" t="inlineStr">
        <is>
          <t>B</t>
        </is>
      </c>
      <c r="B108" t="n">
        <v>5</v>
      </c>
      <c r="K108">
        <f>INDEX('設定'!$G$23:$G$34,B108)</f>
        <v/>
      </c>
      <c r="L108">
        <f>IF(K108&lt;&gt;1,0,IF(OR(A108="T",A108="S",A108="B"),1,IF(AND(OR(I108="",I108&lt;='設定'!$K$2),OR(J108="",ISNUMBER(SEARCH('設定'!$K$3,J108)))),1,0)))</f>
        <v/>
      </c>
      <c r="M108">
        <f>IF(A108&lt;&gt;"I","",IF(G108="",E108,IFERROR(IF(VLOOKUP(G108,'設定'!$A$9:$B$18,2,FALSE)="",E108,ROUND(VLOOKUP(G108,'設定'!$A$9:$B$18,2,FALSE)*H108,2)),E108)))</f>
        <v/>
      </c>
      <c r="N108">
        <f>IF(L108=1,COUNTIF(L$2:L108,1),"")</f>
        <v/>
      </c>
    </row>
    <row r="109">
      <c r="A109" t="inlineStr">
        <is>
          <t>T</t>
        </is>
      </c>
      <c r="B109" t="n">
        <v>6</v>
      </c>
      <c r="C109" t="inlineStr">
        <is>
          <t>鋼製建具工事</t>
        </is>
      </c>
      <c r="K109">
        <f>INDEX('設定'!$G$23:$G$34,B109)</f>
        <v/>
      </c>
      <c r="L109">
        <f>IF(K109&lt;&gt;1,0,IF(OR(A109="T",A109="S",A109="B"),1,IF(AND(OR(I109="",I109&lt;='設定'!$K$2),OR(J109="",ISNUMBER(SEARCH('設定'!$K$3,J109)))),1,0)))</f>
        <v/>
      </c>
      <c r="M109">
        <f>IF(A109&lt;&gt;"I","",IF(G109="",E109,IFERROR(IF(VLOOKUP(G109,'設定'!$A$9:$B$18,2,FALSE)="",E109,ROUND(VLOOKUP(G109,'設定'!$A$9:$B$18,2,FALSE)*H109,2)),E109)))</f>
        <v/>
      </c>
      <c r="N109">
        <f>IF(L109=1,COUNTIF(L$2:L109,1),"")</f>
        <v/>
      </c>
    </row>
    <row r="110">
      <c r="A110" t="inlineStr">
        <is>
          <t>I</t>
        </is>
      </c>
      <c r="B110" t="n">
        <v>6</v>
      </c>
      <c r="C110" t="inlineStr">
        <is>
          <t>AD1 玄関</t>
        </is>
      </c>
      <c r="D110" t="inlineStr">
        <is>
          <t>片開き P17型</t>
        </is>
      </c>
      <c r="E110" t="n">
        <v>1</v>
      </c>
      <c r="F110" t="inlineStr">
        <is>
          <t>ヶ処</t>
        </is>
      </c>
      <c r="K110">
        <f>INDEX('設定'!$G$23:$G$34,B110)</f>
        <v/>
      </c>
      <c r="L110">
        <f>IF(K110&lt;&gt;1,0,IF(OR(A110="T",A110="S",A110="B"),1,IF(AND(OR(I110="",I110&lt;='設定'!$K$2),OR(J110="",ISNUMBER(SEARCH('設定'!$K$3,J110)))),1,0)))</f>
        <v/>
      </c>
      <c r="M110">
        <f>IF(A110&lt;&gt;"I","",IF(G110="",E110,IFERROR(IF(VLOOKUP(G110,'設定'!$A$9:$B$18,2,FALSE)="",E110,ROUND(VLOOKUP(G110,'設定'!$A$9:$B$18,2,FALSE)*H110,2)),E110)))</f>
        <v/>
      </c>
      <c r="N110">
        <f>IF(L110=1,COUNTIF(L$2:L110,1),"")</f>
        <v/>
      </c>
    </row>
    <row r="111">
      <c r="A111" t="inlineStr">
        <is>
          <t>I</t>
        </is>
      </c>
      <c r="B111" t="n">
        <v>6</v>
      </c>
      <c r="C111" t="inlineStr">
        <is>
          <t>AW1 玄関</t>
        </is>
      </c>
      <c r="D111" t="inlineStr">
        <is>
          <t>FIX窓</t>
        </is>
      </c>
      <c r="E111" t="n">
        <v>1</v>
      </c>
      <c r="F111" t="inlineStr">
        <is>
          <t>ヶ処</t>
        </is>
      </c>
      <c r="K111">
        <f>INDEX('設定'!$G$23:$G$34,B111)</f>
        <v/>
      </c>
      <c r="L111">
        <f>IF(K111&lt;&gt;1,0,IF(OR(A111="T",A111="S",A111="B"),1,IF(AND(OR(I111="",I111&lt;='設定'!$K$2),OR(J111="",ISNUMBER(SEARCH('設定'!$K$3,J111)))),1,0)))</f>
        <v/>
      </c>
      <c r="M111">
        <f>IF(A111&lt;&gt;"I","",IF(G111="",E111,IFERROR(IF(VLOOKUP(G111,'設定'!$A$9:$B$18,2,FALSE)="",E111,ROUND(VLOOKUP(G111,'設定'!$A$9:$B$18,2,FALSE)*H111,2)),E111)))</f>
        <v/>
      </c>
      <c r="N111">
        <f>IF(L111=1,COUNTIF(L$2:L111,1),"")</f>
        <v/>
      </c>
    </row>
    <row r="112">
      <c r="A112" t="inlineStr">
        <is>
          <t>I</t>
        </is>
      </c>
      <c r="B112" t="n">
        <v>6</v>
      </c>
      <c r="C112" t="inlineStr">
        <is>
          <t>AW2 玄関</t>
        </is>
      </c>
      <c r="D112" t="inlineStr">
        <is>
          <t>〃</t>
        </is>
      </c>
      <c r="E112" t="n">
        <v>1</v>
      </c>
      <c r="F112" t="inlineStr">
        <is>
          <t>ヶ処</t>
        </is>
      </c>
      <c r="K112">
        <f>INDEX('設定'!$G$23:$G$34,B112)</f>
        <v/>
      </c>
      <c r="L112">
        <f>IF(K112&lt;&gt;1,0,IF(OR(A112="T",A112="S",A112="B"),1,IF(AND(OR(I112="",I112&lt;='設定'!$K$2),OR(J112="",ISNUMBER(SEARCH('設定'!$K$3,J112)))),1,0)))</f>
        <v/>
      </c>
      <c r="M112">
        <f>IF(A112&lt;&gt;"I","",IF(G112="",E112,IFERROR(IF(VLOOKUP(G112,'設定'!$A$9:$B$18,2,FALSE)="",E112,ROUND(VLOOKUP(G112,'設定'!$A$9:$B$18,2,FALSE)*H112,2)),E112)))</f>
        <v/>
      </c>
      <c r="N112">
        <f>IF(L112=1,COUNTIF(L$2:L112,1),"")</f>
        <v/>
      </c>
    </row>
    <row r="113">
      <c r="A113" t="inlineStr">
        <is>
          <t>I</t>
        </is>
      </c>
      <c r="B113" t="n">
        <v>6</v>
      </c>
      <c r="C113" t="inlineStr">
        <is>
          <t>AW3 1階ﾘﾋﾞﾝｸﾞ</t>
        </is>
      </c>
      <c r="D113" t="inlineStr">
        <is>
          <t>引違い窓</t>
        </is>
      </c>
      <c r="E113" t="n">
        <v>1</v>
      </c>
      <c r="F113" t="inlineStr">
        <is>
          <t>ヶ処</t>
        </is>
      </c>
      <c r="K113">
        <f>INDEX('設定'!$G$23:$G$34,B113)</f>
        <v/>
      </c>
      <c r="L113">
        <f>IF(K113&lt;&gt;1,0,IF(OR(A113="T",A113="S",A113="B"),1,IF(AND(OR(I113="",I113&lt;='設定'!$K$2),OR(J113="",ISNUMBER(SEARCH('設定'!$K$3,J113)))),1,0)))</f>
        <v/>
      </c>
      <c r="M113">
        <f>IF(A113&lt;&gt;"I","",IF(G113="",E113,IFERROR(IF(VLOOKUP(G113,'設定'!$A$9:$B$18,2,FALSE)="",E113,ROUND(VLOOKUP(G113,'設定'!$A$9:$B$18,2,FALSE)*H113,2)),E113)))</f>
        <v/>
      </c>
      <c r="N113">
        <f>IF(L113=1,COUNTIF(L$2:L113,1),"")</f>
        <v/>
      </c>
    </row>
    <row r="114">
      <c r="A114" t="inlineStr">
        <is>
          <t>I</t>
        </is>
      </c>
      <c r="B114" t="n">
        <v>6</v>
      </c>
      <c r="C114" t="inlineStr">
        <is>
          <t>AW4 1階ﾘﾋﾞﾝｸﾞ</t>
        </is>
      </c>
      <c r="D114" t="inlineStr">
        <is>
          <t>FIX窓</t>
        </is>
      </c>
      <c r="E114" t="n">
        <v>1</v>
      </c>
      <c r="F114" t="inlineStr">
        <is>
          <t>ヶ処</t>
        </is>
      </c>
      <c r="K114">
        <f>INDEX('設定'!$G$23:$G$34,B114)</f>
        <v/>
      </c>
      <c r="L114">
        <f>IF(K114&lt;&gt;1,0,IF(OR(A114="T",A114="S",A114="B"),1,IF(AND(OR(I114="",I114&lt;='設定'!$K$2),OR(J114="",ISNUMBER(SEARCH('設定'!$K$3,J114)))),1,0)))</f>
        <v/>
      </c>
      <c r="M114">
        <f>IF(A114&lt;&gt;"I","",IF(G114="",E114,IFERROR(IF(VLOOKUP(G114,'設定'!$A$9:$B$18,2,FALSE)="",E114,ROUND(VLOOKUP(G114,'設定'!$A$9:$B$18,2,FALSE)*H114,2)),E114)))</f>
        <v/>
      </c>
      <c r="N114">
        <f>IF(L114=1,COUNTIF(L$2:L114,1),"")</f>
        <v/>
      </c>
    </row>
    <row r="115">
      <c r="A115" t="inlineStr">
        <is>
          <t>I</t>
        </is>
      </c>
      <c r="B115" t="n">
        <v>6</v>
      </c>
      <c r="C115" t="inlineStr">
        <is>
          <t>AW5 1階ﾘﾋﾞﾝｸﾞ</t>
        </is>
      </c>
      <c r="D115" t="inlineStr">
        <is>
          <t>引違い窓</t>
        </is>
      </c>
      <c r="E115" t="n">
        <v>1</v>
      </c>
      <c r="F115" t="inlineStr">
        <is>
          <t>ヶ処</t>
        </is>
      </c>
      <c r="K115">
        <f>INDEX('設定'!$G$23:$G$34,B115)</f>
        <v/>
      </c>
      <c r="L115">
        <f>IF(K115&lt;&gt;1,0,IF(OR(A115="T",A115="S",A115="B"),1,IF(AND(OR(I115="",I115&lt;='設定'!$K$2),OR(J115="",ISNUMBER(SEARCH('設定'!$K$3,J115)))),1,0)))</f>
        <v/>
      </c>
      <c r="M115">
        <f>IF(A115&lt;&gt;"I","",IF(G115="",E115,IFERROR(IF(VLOOKUP(G115,'設定'!$A$9:$B$18,2,FALSE)="",E115,ROUND(VLOOKUP(G115,'設定'!$A$9:$B$18,2,FALSE)*H115,2)),E115)))</f>
        <v/>
      </c>
      <c r="N115">
        <f>IF(L115=1,COUNTIF(L$2:L115,1),"")</f>
        <v/>
      </c>
    </row>
    <row r="116">
      <c r="A116" t="inlineStr">
        <is>
          <t>I</t>
        </is>
      </c>
      <c r="B116" t="n">
        <v>6</v>
      </c>
      <c r="C116" t="inlineStr">
        <is>
          <t>AW6 ｷｯﾁﾝ</t>
        </is>
      </c>
      <c r="D116" t="inlineStr">
        <is>
          <t>縦すべり出し窓</t>
        </is>
      </c>
      <c r="E116" t="n">
        <v>1</v>
      </c>
      <c r="F116" t="inlineStr">
        <is>
          <t>ヶ処</t>
        </is>
      </c>
      <c r="K116">
        <f>INDEX('設定'!$G$23:$G$34,B116)</f>
        <v/>
      </c>
      <c r="L116">
        <f>IF(K116&lt;&gt;1,0,IF(OR(A116="T",A116="S",A116="B"),1,IF(AND(OR(I116="",I116&lt;='設定'!$K$2),OR(J116="",ISNUMBER(SEARCH('設定'!$K$3,J116)))),1,0)))</f>
        <v/>
      </c>
      <c r="M116">
        <f>IF(A116&lt;&gt;"I","",IF(G116="",E116,IFERROR(IF(VLOOKUP(G116,'設定'!$A$9:$B$18,2,FALSE)="",E116,ROUND(VLOOKUP(G116,'設定'!$A$9:$B$18,2,FALSE)*H116,2)),E116)))</f>
        <v/>
      </c>
      <c r="N116">
        <f>IF(L116=1,COUNTIF(L$2:L116,1),"")</f>
        <v/>
      </c>
    </row>
    <row r="117">
      <c r="A117" t="inlineStr">
        <is>
          <t>I</t>
        </is>
      </c>
      <c r="B117" t="n">
        <v>6</v>
      </c>
      <c r="C117" t="inlineStr">
        <is>
          <t>AW7 廊下</t>
        </is>
      </c>
      <c r="D117" t="inlineStr">
        <is>
          <t>上げ下げ窓</t>
        </is>
      </c>
      <c r="E117" t="n">
        <v>1</v>
      </c>
      <c r="F117" t="inlineStr">
        <is>
          <t>ヶ処</t>
        </is>
      </c>
      <c r="K117">
        <f>INDEX('設定'!$G$23:$G$34,B117)</f>
        <v/>
      </c>
      <c r="L117">
        <f>IF(K117&lt;&gt;1,0,IF(OR(A117="T",A117="S",A117="B"),1,IF(AND(OR(I117="",I117&lt;='設定'!$K$2),OR(J117="",ISNUMBER(SEARCH('設定'!$K$3,J117)))),1,0)))</f>
        <v/>
      </c>
      <c r="M117">
        <f>IF(A117&lt;&gt;"I","",IF(G117="",E117,IFERROR(IF(VLOOKUP(G117,'設定'!$A$9:$B$18,2,FALSE)="",E117,ROUND(VLOOKUP(G117,'設定'!$A$9:$B$18,2,FALSE)*H117,2)),E117)))</f>
        <v/>
      </c>
      <c r="N117">
        <f>IF(L117=1,COUNTIF(L$2:L117,1),"")</f>
        <v/>
      </c>
    </row>
    <row r="118">
      <c r="A118" t="inlineStr">
        <is>
          <t>I</t>
        </is>
      </c>
      <c r="B118" t="n">
        <v>6</v>
      </c>
      <c r="C118" t="inlineStr">
        <is>
          <t>AW8 廊下</t>
        </is>
      </c>
      <c r="D118" t="inlineStr">
        <is>
          <t>勝手口ﾄﾞｱ</t>
        </is>
      </c>
      <c r="E118" t="n">
        <v>1</v>
      </c>
      <c r="F118" t="inlineStr">
        <is>
          <t>ヶ処</t>
        </is>
      </c>
      <c r="K118">
        <f>INDEX('設定'!$G$23:$G$34,B118)</f>
        <v/>
      </c>
      <c r="L118">
        <f>IF(K118&lt;&gt;1,0,IF(OR(A118="T",A118="S",A118="B"),1,IF(AND(OR(I118="",I118&lt;='設定'!$K$2),OR(J118="",ISNUMBER(SEARCH('設定'!$K$3,J118)))),1,0)))</f>
        <v/>
      </c>
      <c r="M118">
        <f>IF(A118&lt;&gt;"I","",IF(G118="",E118,IFERROR(IF(VLOOKUP(G118,'設定'!$A$9:$B$18,2,FALSE)="",E118,ROUND(VLOOKUP(G118,'設定'!$A$9:$B$18,2,FALSE)*H118,2)),E118)))</f>
        <v/>
      </c>
      <c r="N118">
        <f>IF(L118=1,COUNTIF(L$2:L118,1),"")</f>
        <v/>
      </c>
    </row>
    <row r="119">
      <c r="A119" t="inlineStr">
        <is>
          <t>I</t>
        </is>
      </c>
      <c r="B119" t="n">
        <v>6</v>
      </c>
      <c r="C119" t="inlineStr">
        <is>
          <t>AW9 1階寝室</t>
        </is>
      </c>
      <c r="D119" t="inlineStr">
        <is>
          <t>引違い窓</t>
        </is>
      </c>
      <c r="E119" t="n">
        <v>1</v>
      </c>
      <c r="F119" t="inlineStr">
        <is>
          <t>ヶ処</t>
        </is>
      </c>
      <c r="K119">
        <f>INDEX('設定'!$G$23:$G$34,B119)</f>
        <v/>
      </c>
      <c r="L119">
        <f>IF(K119&lt;&gt;1,0,IF(OR(A119="T",A119="S",A119="B"),1,IF(AND(OR(I119="",I119&lt;='設定'!$K$2),OR(J119="",ISNUMBER(SEARCH('設定'!$K$3,J119)))),1,0)))</f>
        <v/>
      </c>
      <c r="M119">
        <f>IF(A119&lt;&gt;"I","",IF(G119="",E119,IFERROR(IF(VLOOKUP(G119,'設定'!$A$9:$B$18,2,FALSE)="",E119,ROUND(VLOOKUP(G119,'設定'!$A$9:$B$18,2,FALSE)*H119,2)),E119)))</f>
        <v/>
      </c>
      <c r="N119">
        <f>IF(L119=1,COUNTIF(L$2:L119,1),"")</f>
        <v/>
      </c>
    </row>
    <row r="120">
      <c r="A120" t="inlineStr">
        <is>
          <t>I</t>
        </is>
      </c>
      <c r="B120" t="n">
        <v>6</v>
      </c>
      <c r="C120" t="inlineStr">
        <is>
          <t>AW10 1階寝室</t>
        </is>
      </c>
      <c r="D120" t="inlineStr">
        <is>
          <t>引違い窓</t>
        </is>
      </c>
      <c r="E120" t="n">
        <v>1</v>
      </c>
      <c r="F120" t="inlineStr">
        <is>
          <t>ヶ処</t>
        </is>
      </c>
      <c r="K120">
        <f>INDEX('設定'!$G$23:$G$34,B120)</f>
        <v/>
      </c>
      <c r="L120">
        <f>IF(K120&lt;&gt;1,0,IF(OR(A120="T",A120="S",A120="B"),1,IF(AND(OR(I120="",I120&lt;='設定'!$K$2),OR(J120="",ISNUMBER(SEARCH('設定'!$K$3,J120)))),1,0)))</f>
        <v/>
      </c>
      <c r="M120">
        <f>IF(A120&lt;&gt;"I","",IF(G120="",E120,IFERROR(IF(VLOOKUP(G120,'設定'!$A$9:$B$18,2,FALSE)="",E120,ROUND(VLOOKUP(G120,'設定'!$A$9:$B$18,2,FALSE)*H120,2)),E120)))</f>
        <v/>
      </c>
      <c r="N120">
        <f>IF(L120=1,COUNTIF(L$2:L120,1),"")</f>
        <v/>
      </c>
    </row>
    <row r="121">
      <c r="A121" t="inlineStr">
        <is>
          <t>I</t>
        </is>
      </c>
      <c r="B121" t="n">
        <v>6</v>
      </c>
      <c r="C121" t="inlineStr">
        <is>
          <t>AW11 1階納戸</t>
        </is>
      </c>
      <c r="D121" t="inlineStr">
        <is>
          <t>縦すべり出し窓</t>
        </is>
      </c>
      <c r="E121" t="n">
        <v>1</v>
      </c>
      <c r="F121" t="inlineStr">
        <is>
          <t>ヶ処</t>
        </is>
      </c>
      <c r="K121">
        <f>INDEX('設定'!$G$23:$G$34,B121)</f>
        <v/>
      </c>
      <c r="L121">
        <f>IF(K121&lt;&gt;1,0,IF(OR(A121="T",A121="S",A121="B"),1,IF(AND(OR(I121="",I121&lt;='設定'!$K$2),OR(J121="",ISNUMBER(SEARCH('設定'!$K$3,J121)))),1,0)))</f>
        <v/>
      </c>
      <c r="M121">
        <f>IF(A121&lt;&gt;"I","",IF(G121="",E121,IFERROR(IF(VLOOKUP(G121,'設定'!$A$9:$B$18,2,FALSE)="",E121,ROUND(VLOOKUP(G121,'設定'!$A$9:$B$18,2,FALSE)*H121,2)),E121)))</f>
        <v/>
      </c>
      <c r="N121">
        <f>IF(L121=1,COUNTIF(L$2:L121,1),"")</f>
        <v/>
      </c>
    </row>
    <row r="122">
      <c r="A122" t="inlineStr">
        <is>
          <t>I</t>
        </is>
      </c>
      <c r="B122" t="n">
        <v>6</v>
      </c>
      <c r="C122" t="inlineStr">
        <is>
          <t>AW12 1階ﾄｲﾚ</t>
        </is>
      </c>
      <c r="D122" t="inlineStr">
        <is>
          <t>FIX窓</t>
        </is>
      </c>
      <c r="E122" t="n">
        <v>1</v>
      </c>
      <c r="F122" t="inlineStr">
        <is>
          <t>ヶ処</t>
        </is>
      </c>
      <c r="K122">
        <f>INDEX('設定'!$G$23:$G$34,B122)</f>
        <v/>
      </c>
      <c r="L122">
        <f>IF(K122&lt;&gt;1,0,IF(OR(A122="T",A122="S",A122="B"),1,IF(AND(OR(I122="",I122&lt;='設定'!$K$2),OR(J122="",ISNUMBER(SEARCH('設定'!$K$3,J122)))),1,0)))</f>
        <v/>
      </c>
      <c r="M122">
        <f>IF(A122&lt;&gt;"I","",IF(G122="",E122,IFERROR(IF(VLOOKUP(G122,'設定'!$A$9:$B$18,2,FALSE)="",E122,ROUND(VLOOKUP(G122,'設定'!$A$9:$B$18,2,FALSE)*H122,2)),E122)))</f>
        <v/>
      </c>
      <c r="N122">
        <f>IF(L122=1,COUNTIF(L$2:L122,1),"")</f>
        <v/>
      </c>
    </row>
    <row r="123">
      <c r="A123" t="inlineStr">
        <is>
          <t>I</t>
        </is>
      </c>
      <c r="B123" t="n">
        <v>6</v>
      </c>
      <c r="C123" t="inlineStr">
        <is>
          <t>AW13 1階洗面脱衣室</t>
        </is>
      </c>
      <c r="D123" t="inlineStr">
        <is>
          <t>FIX窓</t>
        </is>
      </c>
      <c r="E123" t="n">
        <v>1</v>
      </c>
      <c r="F123" t="inlineStr">
        <is>
          <t>ヶ処</t>
        </is>
      </c>
      <c r="K123">
        <f>INDEX('設定'!$G$23:$G$34,B123)</f>
        <v/>
      </c>
      <c r="L123">
        <f>IF(K123&lt;&gt;1,0,IF(OR(A123="T",A123="S",A123="B"),1,IF(AND(OR(I123="",I123&lt;='設定'!$K$2),OR(J123="",ISNUMBER(SEARCH('設定'!$K$3,J123)))),1,0)))</f>
        <v/>
      </c>
      <c r="M123">
        <f>IF(A123&lt;&gt;"I","",IF(G123="",E123,IFERROR(IF(VLOOKUP(G123,'設定'!$A$9:$B$18,2,FALSE)="",E123,ROUND(VLOOKUP(G123,'設定'!$A$9:$B$18,2,FALSE)*H123,2)),E123)))</f>
        <v/>
      </c>
      <c r="N123">
        <f>IF(L123=1,COUNTIF(L$2:L123,1),"")</f>
        <v/>
      </c>
    </row>
    <row r="124">
      <c r="A124" t="inlineStr">
        <is>
          <t>I</t>
        </is>
      </c>
      <c r="B124" t="n">
        <v>6</v>
      </c>
      <c r="C124" t="inlineStr">
        <is>
          <t>AW14 2階洋室</t>
        </is>
      </c>
      <c r="D124" t="inlineStr">
        <is>
          <t>引違い窓 内窓</t>
        </is>
      </c>
      <c r="E124" t="n">
        <v>1</v>
      </c>
      <c r="F124" t="inlineStr">
        <is>
          <t>ヶ処</t>
        </is>
      </c>
      <c r="I124" t="n">
        <v>2</v>
      </c>
      <c r="K124">
        <f>INDEX('設定'!$G$23:$G$34,B124)</f>
        <v/>
      </c>
      <c r="L124">
        <f>IF(K124&lt;&gt;1,0,IF(OR(A124="T",A124="S",A124="B"),1,IF(AND(OR(I124="",I124&lt;='設定'!$K$2),OR(J124="",ISNUMBER(SEARCH('設定'!$K$3,J124)))),1,0)))</f>
        <v/>
      </c>
      <c r="M124">
        <f>IF(A124&lt;&gt;"I","",IF(G124="",E124,IFERROR(IF(VLOOKUP(G124,'設定'!$A$9:$B$18,2,FALSE)="",E124,ROUND(VLOOKUP(G124,'設定'!$A$9:$B$18,2,FALSE)*H124,2)),E124)))</f>
        <v/>
      </c>
      <c r="N124">
        <f>IF(L124=1,COUNTIF(L$2:L124,1),"")</f>
        <v/>
      </c>
    </row>
    <row r="125">
      <c r="A125" t="inlineStr">
        <is>
          <t>I</t>
        </is>
      </c>
      <c r="B125" t="n">
        <v>6</v>
      </c>
      <c r="C125" t="inlineStr">
        <is>
          <t>AW15 1階和室1</t>
        </is>
      </c>
      <c r="D125" t="inlineStr">
        <is>
          <t>〃</t>
        </is>
      </c>
      <c r="E125" t="n">
        <v>1</v>
      </c>
      <c r="F125" t="inlineStr">
        <is>
          <t>ヶ処</t>
        </is>
      </c>
      <c r="K125">
        <f>INDEX('設定'!$G$23:$G$34,B125)</f>
        <v/>
      </c>
      <c r="L125">
        <f>IF(K125&lt;&gt;1,0,IF(OR(A125="T",A125="S",A125="B"),1,IF(AND(OR(I125="",I125&lt;='設定'!$K$2),OR(J125="",ISNUMBER(SEARCH('設定'!$K$3,J125)))),1,0)))</f>
        <v/>
      </c>
      <c r="M125">
        <f>IF(A125&lt;&gt;"I","",IF(G125="",E125,IFERROR(IF(VLOOKUP(G125,'設定'!$A$9:$B$18,2,FALSE)="",E125,ROUND(VLOOKUP(G125,'設定'!$A$9:$B$18,2,FALSE)*H125,2)),E125)))</f>
        <v/>
      </c>
      <c r="N125">
        <f>IF(L125=1,COUNTIF(L$2:L125,1),"")</f>
        <v/>
      </c>
    </row>
    <row r="126">
      <c r="A126" t="inlineStr">
        <is>
          <t>I</t>
        </is>
      </c>
      <c r="B126" t="n">
        <v>6</v>
      </c>
      <c r="C126" t="inlineStr">
        <is>
          <t>AW16 1階和室2</t>
        </is>
      </c>
      <c r="D126" t="inlineStr">
        <is>
          <t>〃</t>
        </is>
      </c>
      <c r="E126" t="n">
        <v>1</v>
      </c>
      <c r="F126" t="inlineStr">
        <is>
          <t>ヶ処</t>
        </is>
      </c>
      <c r="K126">
        <f>INDEX('設定'!$G$23:$G$34,B126)</f>
        <v/>
      </c>
      <c r="L126">
        <f>IF(K126&lt;&gt;1,0,IF(OR(A126="T",A126="S",A126="B"),1,IF(AND(OR(I126="",I126&lt;='設定'!$K$2),OR(J126="",ISNUMBER(SEARCH('設定'!$K$3,J126)))),1,0)))</f>
        <v/>
      </c>
      <c r="M126">
        <f>IF(A126&lt;&gt;"I","",IF(G126="",E126,IFERROR(IF(VLOOKUP(G126,'設定'!$A$9:$B$18,2,FALSE)="",E126,ROUND(VLOOKUP(G126,'設定'!$A$9:$B$18,2,FALSE)*H126,2)),E126)))</f>
        <v/>
      </c>
      <c r="N126">
        <f>IF(L126=1,COUNTIF(L$2:L126,1),"")</f>
        <v/>
      </c>
    </row>
    <row r="127">
      <c r="A127" t="inlineStr">
        <is>
          <t>I</t>
        </is>
      </c>
      <c r="B127" t="n">
        <v>6</v>
      </c>
      <c r="C127" t="inlineStr">
        <is>
          <t>サッシ搬入費</t>
        </is>
      </c>
      <c r="E127" t="n">
        <v>1</v>
      </c>
      <c r="F127" t="inlineStr">
        <is>
          <t>式</t>
        </is>
      </c>
      <c r="K127">
        <f>INDEX('設定'!$G$23:$G$34,B127)</f>
        <v/>
      </c>
      <c r="L127">
        <f>IF(K127&lt;&gt;1,0,IF(OR(A127="T",A127="S",A127="B"),1,IF(AND(OR(I127="",I127&lt;='設定'!$K$2),OR(J127="",ISNUMBER(SEARCH('設定'!$K$3,J127)))),1,0)))</f>
        <v/>
      </c>
      <c r="M127">
        <f>IF(A127&lt;&gt;"I","",IF(G127="",E127,IFERROR(IF(VLOOKUP(G127,'設定'!$A$9:$B$18,2,FALSE)="",E127,ROUND(VLOOKUP(G127,'設定'!$A$9:$B$18,2,FALSE)*H127,2)),E127)))</f>
        <v/>
      </c>
      <c r="N127">
        <f>IF(L127=1,COUNTIF(L$2:L127,1),"")</f>
        <v/>
      </c>
    </row>
    <row r="128">
      <c r="A128" t="inlineStr">
        <is>
          <t>I</t>
        </is>
      </c>
      <c r="B128" t="n">
        <v>6</v>
      </c>
      <c r="C128" t="inlineStr">
        <is>
          <t>内窓設置費</t>
        </is>
      </c>
      <c r="E128" t="n">
        <v>1</v>
      </c>
      <c r="F128" t="inlineStr">
        <is>
          <t>式</t>
        </is>
      </c>
      <c r="K128">
        <f>INDEX('設定'!$G$23:$G$34,B128)</f>
        <v/>
      </c>
      <c r="L128">
        <f>IF(K128&lt;&gt;1,0,IF(OR(A128="T",A128="S",A128="B"),1,IF(AND(OR(I128="",I128&lt;='設定'!$K$2),OR(J128="",ISNUMBER(SEARCH('設定'!$K$3,J128)))),1,0)))</f>
        <v/>
      </c>
      <c r="M128">
        <f>IF(A128&lt;&gt;"I","",IF(G128="",E128,IFERROR(IF(VLOOKUP(G128,'設定'!$A$9:$B$18,2,FALSE)="",E128,ROUND(VLOOKUP(G128,'設定'!$A$9:$B$18,2,FALSE)*H128,2)),E128)))</f>
        <v/>
      </c>
      <c r="N128">
        <f>IF(L128=1,COUNTIF(L$2:L128,1),"")</f>
        <v/>
      </c>
    </row>
    <row r="129">
      <c r="A129" t="inlineStr">
        <is>
          <t>I</t>
        </is>
      </c>
      <c r="B129" t="n">
        <v>6</v>
      </c>
      <c r="C129" t="inlineStr">
        <is>
          <t>風除室</t>
        </is>
      </c>
      <c r="D129" t="inlineStr">
        <is>
          <t>材工共 現状参考</t>
        </is>
      </c>
      <c r="E129" t="n">
        <v>1</v>
      </c>
      <c r="F129" t="inlineStr">
        <is>
          <t>式</t>
        </is>
      </c>
      <c r="K129">
        <f>INDEX('設定'!$G$23:$G$34,B129)</f>
        <v/>
      </c>
      <c r="L129">
        <f>IF(K129&lt;&gt;1,0,IF(OR(A129="T",A129="S",A129="B"),1,IF(AND(OR(I129="",I129&lt;='設定'!$K$2),OR(J129="",ISNUMBER(SEARCH('設定'!$K$3,J129)))),1,0)))</f>
        <v/>
      </c>
      <c r="M129">
        <f>IF(A129&lt;&gt;"I","",IF(G129="",E129,IFERROR(IF(VLOOKUP(G129,'設定'!$A$9:$B$18,2,FALSE)="",E129,ROUND(VLOOKUP(G129,'設定'!$A$9:$B$18,2,FALSE)*H129,2)),E129)))</f>
        <v/>
      </c>
      <c r="N129">
        <f>IF(L129=1,COUNTIF(L$2:L129,1),"")</f>
        <v/>
      </c>
    </row>
    <row r="130">
      <c r="A130" t="inlineStr">
        <is>
          <t>S</t>
        </is>
      </c>
      <c r="B130" t="n">
        <v>6</v>
      </c>
      <c r="C130" t="inlineStr">
        <is>
          <t>小　計</t>
        </is>
      </c>
      <c r="K130">
        <f>INDEX('設定'!$G$23:$G$34,B130)</f>
        <v/>
      </c>
      <c r="L130">
        <f>IF(K130&lt;&gt;1,0,IF(OR(A130="T",A130="S",A130="B"),1,IF(AND(OR(I130="",I130&lt;='設定'!$K$2),OR(J130="",ISNUMBER(SEARCH('設定'!$K$3,J130)))),1,0)))</f>
        <v/>
      </c>
      <c r="M130">
        <f>IF(A130&lt;&gt;"I","",IF(G130="",E130,IFERROR(IF(VLOOKUP(G130,'設定'!$A$9:$B$18,2,FALSE)="",E130,ROUND(VLOOKUP(G130,'設定'!$A$9:$B$18,2,FALSE)*H130,2)),E130)))</f>
        <v/>
      </c>
      <c r="N130">
        <f>IF(L130=1,COUNTIF(L$2:L130,1),"")</f>
        <v/>
      </c>
    </row>
    <row r="131">
      <c r="A131" t="inlineStr">
        <is>
          <t>B</t>
        </is>
      </c>
      <c r="B131" t="n">
        <v>6</v>
      </c>
      <c r="K131">
        <f>INDEX('設定'!$G$23:$G$34,B131)</f>
        <v/>
      </c>
      <c r="L131">
        <f>IF(K131&lt;&gt;1,0,IF(OR(A131="T",A131="S",A131="B"),1,IF(AND(OR(I131="",I131&lt;='設定'!$K$2),OR(J131="",ISNUMBER(SEARCH('設定'!$K$3,J131)))),1,0)))</f>
        <v/>
      </c>
      <c r="M131">
        <f>IF(A131&lt;&gt;"I","",IF(G131="",E131,IFERROR(IF(VLOOKUP(G131,'設定'!$A$9:$B$18,2,FALSE)="",E131,ROUND(VLOOKUP(G131,'設定'!$A$9:$B$18,2,FALSE)*H131,2)),E131)))</f>
        <v/>
      </c>
      <c r="N131">
        <f>IF(L131=1,COUNTIF(L$2:L131,1),"")</f>
        <v/>
      </c>
    </row>
    <row r="132">
      <c r="A132" t="inlineStr">
        <is>
          <t>T</t>
        </is>
      </c>
      <c r="B132" t="n">
        <v>7</v>
      </c>
      <c r="C132" t="inlineStr">
        <is>
          <t>塗装工事</t>
        </is>
      </c>
      <c r="K132">
        <f>INDEX('設定'!$G$23:$G$34,B132)</f>
        <v/>
      </c>
      <c r="L132">
        <f>IF(K132&lt;&gt;1,0,IF(OR(A132="T",A132="S",A132="B"),1,IF(AND(OR(I132="",I132&lt;='設定'!$K$2),OR(J132="",ISNUMBER(SEARCH('設定'!$K$3,J132)))),1,0)))</f>
        <v/>
      </c>
      <c r="M132">
        <f>IF(A132&lt;&gt;"I","",IF(G132="",E132,IFERROR(IF(VLOOKUP(G132,'設定'!$A$9:$B$18,2,FALSE)="",E132,ROUND(VLOOKUP(G132,'設定'!$A$9:$B$18,2,FALSE)*H132,2)),E132)))</f>
        <v/>
      </c>
      <c r="N132">
        <f>IF(L132=1,COUNTIF(L$2:L132,1),"")</f>
        <v/>
      </c>
    </row>
    <row r="133">
      <c r="A133" t="inlineStr">
        <is>
          <t>I</t>
        </is>
      </c>
      <c r="B133" t="n">
        <v>7</v>
      </c>
      <c r="C133" t="inlineStr">
        <is>
          <t>破風板、鼻隠し ｳﾚﾀﾝ系塗装</t>
        </is>
      </c>
      <c r="E133" t="n">
        <v>110</v>
      </c>
      <c r="F133" t="inlineStr">
        <is>
          <t>ⅿ</t>
        </is>
      </c>
      <c r="K133">
        <f>INDEX('設定'!$G$23:$G$34,B133)</f>
        <v/>
      </c>
      <c r="L133">
        <f>IF(K133&lt;&gt;1,0,IF(OR(A133="T",A133="S",A133="B"),1,IF(AND(OR(I133="",I133&lt;='設定'!$K$2),OR(J133="",ISNUMBER(SEARCH('設定'!$K$3,J133)))),1,0)))</f>
        <v/>
      </c>
      <c r="M133">
        <f>IF(A133&lt;&gt;"I","",IF(G133="",E133,IFERROR(IF(VLOOKUP(G133,'設定'!$A$9:$B$18,2,FALSE)="",E133,ROUND(VLOOKUP(G133,'設定'!$A$9:$B$18,2,FALSE)*H133,2)),E133)))</f>
        <v/>
      </c>
      <c r="N133">
        <f>IF(L133=1,COUNTIF(L$2:L133,1),"")</f>
        <v/>
      </c>
    </row>
    <row r="134">
      <c r="A134" t="inlineStr">
        <is>
          <t>I</t>
        </is>
      </c>
      <c r="B134" t="n">
        <v>7</v>
      </c>
      <c r="C134" t="inlineStr">
        <is>
          <t>軒裏 ｶﾁｵﾝ系塗装</t>
        </is>
      </c>
      <c r="E134" t="n">
        <v>110</v>
      </c>
      <c r="F134" t="inlineStr">
        <is>
          <t>㎡</t>
        </is>
      </c>
      <c r="K134">
        <f>INDEX('設定'!$G$23:$G$34,B134)</f>
        <v/>
      </c>
      <c r="L134">
        <f>IF(K134&lt;&gt;1,0,IF(OR(A134="T",A134="S",A134="B"),1,IF(AND(OR(I134="",I134&lt;='設定'!$K$2),OR(J134="",ISNUMBER(SEARCH('設定'!$K$3,J134)))),1,0)))</f>
        <v/>
      </c>
      <c r="M134">
        <f>IF(A134&lt;&gt;"I","",IF(G134="",E134,IFERROR(IF(VLOOKUP(G134,'設定'!$A$9:$B$18,2,FALSE)="",E134,ROUND(VLOOKUP(G134,'設定'!$A$9:$B$18,2,FALSE)*H134,2)),E134)))</f>
        <v/>
      </c>
      <c r="N134">
        <f>IF(L134=1,COUNTIF(L$2:L134,1),"")</f>
        <v/>
      </c>
    </row>
    <row r="135">
      <c r="A135" t="inlineStr">
        <is>
          <t>I</t>
        </is>
      </c>
      <c r="B135" t="n">
        <v>7</v>
      </c>
      <c r="C135" t="inlineStr">
        <is>
          <t>内部塗装</t>
        </is>
      </c>
      <c r="E135" t="n">
        <v>1</v>
      </c>
      <c r="F135" t="inlineStr">
        <is>
          <t>式</t>
        </is>
      </c>
      <c r="K135">
        <f>INDEX('設定'!$G$23:$G$34,B135)</f>
        <v/>
      </c>
      <c r="L135">
        <f>IF(K135&lt;&gt;1,0,IF(OR(A135="T",A135="S",A135="B"),1,IF(AND(OR(I135="",I135&lt;='設定'!$K$2),OR(J135="",ISNUMBER(SEARCH('設定'!$K$3,J135)))),1,0)))</f>
        <v/>
      </c>
      <c r="M135">
        <f>IF(A135&lt;&gt;"I","",IF(G135="",E135,IFERROR(IF(VLOOKUP(G135,'設定'!$A$9:$B$18,2,FALSE)="",E135,ROUND(VLOOKUP(G135,'設定'!$A$9:$B$18,2,FALSE)*H135,2)),E135)))</f>
        <v/>
      </c>
      <c r="N135">
        <f>IF(L135=1,COUNTIF(L$2:L135,1),"")</f>
        <v/>
      </c>
    </row>
    <row r="136">
      <c r="A136" t="inlineStr">
        <is>
          <t>S</t>
        </is>
      </c>
      <c r="B136" t="n">
        <v>7</v>
      </c>
      <c r="C136" t="inlineStr">
        <is>
          <t>小　計</t>
        </is>
      </c>
      <c r="K136">
        <f>INDEX('設定'!$G$23:$G$34,B136)</f>
        <v/>
      </c>
      <c r="L136">
        <f>IF(K136&lt;&gt;1,0,IF(OR(A136="T",A136="S",A136="B"),1,IF(AND(OR(I136="",I136&lt;='設定'!$K$2),OR(J136="",ISNUMBER(SEARCH('設定'!$K$3,J136)))),1,0)))</f>
        <v/>
      </c>
      <c r="M136">
        <f>IF(A136&lt;&gt;"I","",IF(G136="",E136,IFERROR(IF(VLOOKUP(G136,'設定'!$A$9:$B$18,2,FALSE)="",E136,ROUND(VLOOKUP(G136,'設定'!$A$9:$B$18,2,FALSE)*H136,2)),E136)))</f>
        <v/>
      </c>
      <c r="N136">
        <f>IF(L136=1,COUNTIF(L$2:L136,1),"")</f>
        <v/>
      </c>
    </row>
    <row r="137">
      <c r="A137" t="inlineStr">
        <is>
          <t>B</t>
        </is>
      </c>
      <c r="B137" t="n">
        <v>7</v>
      </c>
      <c r="K137">
        <f>INDEX('設定'!$G$23:$G$34,B137)</f>
        <v/>
      </c>
      <c r="L137">
        <f>IF(K137&lt;&gt;1,0,IF(OR(A137="T",A137="S",A137="B"),1,IF(AND(OR(I137="",I137&lt;='設定'!$K$2),OR(J137="",ISNUMBER(SEARCH('設定'!$K$3,J137)))),1,0)))</f>
        <v/>
      </c>
      <c r="M137">
        <f>IF(A137&lt;&gt;"I","",IF(G137="",E137,IFERROR(IF(VLOOKUP(G137,'設定'!$A$9:$B$18,2,FALSE)="",E137,ROUND(VLOOKUP(G137,'設定'!$A$9:$B$18,2,FALSE)*H137,2)),E137)))</f>
        <v/>
      </c>
      <c r="N137">
        <f>IF(L137=1,COUNTIF(L$2:L137,1),"")</f>
        <v/>
      </c>
    </row>
    <row r="138">
      <c r="A138" t="inlineStr">
        <is>
          <t>T</t>
        </is>
      </c>
      <c r="B138" t="n">
        <v>8</v>
      </c>
      <c r="C138" t="inlineStr">
        <is>
          <t>電気設備工事</t>
        </is>
      </c>
      <c r="K138">
        <f>INDEX('設定'!$G$23:$G$34,B138)</f>
        <v/>
      </c>
      <c r="L138">
        <f>IF(K138&lt;&gt;1,0,IF(OR(A138="T",A138="S",A138="B"),1,IF(AND(OR(I138="",I138&lt;='設定'!$K$2),OR(J138="",ISNUMBER(SEARCH('設定'!$K$3,J138)))),1,0)))</f>
        <v/>
      </c>
      <c r="M138">
        <f>IF(A138&lt;&gt;"I","",IF(G138="",E138,IFERROR(IF(VLOOKUP(G138,'設定'!$A$9:$B$18,2,FALSE)="",E138,ROUND(VLOOKUP(G138,'設定'!$A$9:$B$18,2,FALSE)*H138,2)),E138)))</f>
        <v/>
      </c>
      <c r="N138">
        <f>IF(L138=1,COUNTIF(L$2:L138,1),"")</f>
        <v/>
      </c>
    </row>
    <row r="139">
      <c r="A139" t="inlineStr">
        <is>
          <t>G</t>
        </is>
      </c>
      <c r="B139" t="n">
        <v>8</v>
      </c>
      <c r="C139" t="inlineStr">
        <is>
          <t>【メーター及び分電盤工事】</t>
        </is>
      </c>
      <c r="K139">
        <f>INDEX('設定'!$G$23:$G$34,B139)</f>
        <v/>
      </c>
      <c r="L139">
        <f>IF(K139&lt;&gt;1,0,IF(OR(A139="T",A139="S",A139="B"),1,IF(AND(OR(I139="",I139&lt;='設定'!$K$2),OR(J139="",ISNUMBER(SEARCH('設定'!$K$3,J139)))),1,0)))</f>
        <v/>
      </c>
      <c r="M139">
        <f>IF(A139&lt;&gt;"I","",IF(G139="",E139,IFERROR(IF(VLOOKUP(G139,'設定'!$A$9:$B$18,2,FALSE)="",E139,ROUND(VLOOKUP(G139,'設定'!$A$9:$B$18,2,FALSE)*H139,2)),E139)))</f>
        <v/>
      </c>
      <c r="N139">
        <f>IF(L139=1,COUNTIF(L$2:L139,1),"")</f>
        <v/>
      </c>
    </row>
    <row r="140">
      <c r="A140" t="inlineStr">
        <is>
          <t>I</t>
        </is>
      </c>
      <c r="B140" t="n">
        <v>8</v>
      </c>
      <c r="C140" t="inlineStr">
        <is>
          <t>分電盤</t>
        </is>
      </c>
      <c r="E140" t="n">
        <v>1</v>
      </c>
      <c r="F140" t="inlineStr">
        <is>
          <t>式</t>
        </is>
      </c>
      <c r="K140">
        <f>INDEX('設定'!$G$23:$G$34,B140)</f>
        <v/>
      </c>
      <c r="L140">
        <f>IF(K140&lt;&gt;1,0,IF(OR(A140="T",A140="S",A140="B"),1,IF(AND(OR(I140="",I140&lt;='設定'!$K$2),OR(J140="",ISNUMBER(SEARCH('設定'!$K$3,J140)))),1,0)))</f>
        <v/>
      </c>
      <c r="M140">
        <f>IF(A140&lt;&gt;"I","",IF(G140="",E140,IFERROR(IF(VLOOKUP(G140,'設定'!$A$9:$B$18,2,FALSE)="",E140,ROUND(VLOOKUP(G140,'設定'!$A$9:$B$18,2,FALSE)*H140,2)),E140)))</f>
        <v/>
      </c>
      <c r="N140">
        <f>IF(L140=1,COUNTIF(L$2:L140,1),"")</f>
        <v/>
      </c>
    </row>
    <row r="141">
      <c r="A141" t="inlineStr">
        <is>
          <t>I</t>
        </is>
      </c>
      <c r="B141" t="n">
        <v>8</v>
      </c>
      <c r="C141" t="inlineStr">
        <is>
          <t>電線</t>
        </is>
      </c>
      <c r="E141" t="n">
        <v>20</v>
      </c>
      <c r="F141" t="inlineStr">
        <is>
          <t>ｍ</t>
        </is>
      </c>
      <c r="K141">
        <f>INDEX('設定'!$G$23:$G$34,B141)</f>
        <v/>
      </c>
      <c r="L141">
        <f>IF(K141&lt;&gt;1,0,IF(OR(A141="T",A141="S",A141="B"),1,IF(AND(OR(I141="",I141&lt;='設定'!$K$2),OR(J141="",ISNUMBER(SEARCH('設定'!$K$3,J141)))),1,0)))</f>
        <v/>
      </c>
      <c r="M141">
        <f>IF(A141&lt;&gt;"I","",IF(G141="",E141,IFERROR(IF(VLOOKUP(G141,'設定'!$A$9:$B$18,2,FALSE)="",E141,ROUND(VLOOKUP(G141,'設定'!$A$9:$B$18,2,FALSE)*H141,2)),E141)))</f>
        <v/>
      </c>
      <c r="N141">
        <f>IF(L141=1,COUNTIF(L$2:L141,1),"")</f>
        <v/>
      </c>
    </row>
    <row r="142">
      <c r="A142" t="inlineStr">
        <is>
          <t>I</t>
        </is>
      </c>
      <c r="B142" t="n">
        <v>8</v>
      </c>
      <c r="C142" t="inlineStr">
        <is>
          <t>計器箱</t>
        </is>
      </c>
      <c r="E142" t="n">
        <v>1</v>
      </c>
      <c r="F142" t="inlineStr">
        <is>
          <t>個</t>
        </is>
      </c>
      <c r="K142">
        <f>INDEX('設定'!$G$23:$G$34,B142)</f>
        <v/>
      </c>
      <c r="L142">
        <f>IF(K142&lt;&gt;1,0,IF(OR(A142="T",A142="S",A142="B"),1,IF(AND(OR(I142="",I142&lt;='設定'!$K$2),OR(J142="",ISNUMBER(SEARCH('設定'!$K$3,J142)))),1,0)))</f>
        <v/>
      </c>
      <c r="M142">
        <f>IF(A142&lt;&gt;"I","",IF(G142="",E142,IFERROR(IF(VLOOKUP(G142,'設定'!$A$9:$B$18,2,FALSE)="",E142,ROUND(VLOOKUP(G142,'設定'!$A$9:$B$18,2,FALSE)*H142,2)),E142)))</f>
        <v/>
      </c>
      <c r="N142">
        <f>IF(L142=1,COUNTIF(L$2:L142,1),"")</f>
        <v/>
      </c>
    </row>
    <row r="143">
      <c r="A143" t="inlineStr">
        <is>
          <t>I</t>
        </is>
      </c>
      <c r="B143" t="n">
        <v>8</v>
      </c>
      <c r="C143" t="inlineStr">
        <is>
          <t>電力申請費</t>
        </is>
      </c>
      <c r="E143" t="n">
        <v>1</v>
      </c>
      <c r="F143" t="inlineStr">
        <is>
          <t>式</t>
        </is>
      </c>
      <c r="K143">
        <f>INDEX('設定'!$G$23:$G$34,B143)</f>
        <v/>
      </c>
      <c r="L143">
        <f>IF(K143&lt;&gt;1,0,IF(OR(A143="T",A143="S",A143="B"),1,IF(AND(OR(I143="",I143&lt;='設定'!$K$2),OR(J143="",ISNUMBER(SEARCH('設定'!$K$3,J143)))),1,0)))</f>
        <v/>
      </c>
      <c r="M143">
        <f>IF(A143&lt;&gt;"I","",IF(G143="",E143,IFERROR(IF(VLOOKUP(G143,'設定'!$A$9:$B$18,2,FALSE)="",E143,ROUND(VLOOKUP(G143,'設定'!$A$9:$B$18,2,FALSE)*H143,2)),E143)))</f>
        <v/>
      </c>
      <c r="N143">
        <f>IF(L143=1,COUNTIF(L$2:L143,1),"")</f>
        <v/>
      </c>
    </row>
    <row r="144">
      <c r="A144" t="inlineStr">
        <is>
          <t>I</t>
        </is>
      </c>
      <c r="B144" t="n">
        <v>8</v>
      </c>
      <c r="C144" t="inlineStr">
        <is>
          <t>電工費</t>
        </is>
      </c>
      <c r="E144" t="n">
        <v>1</v>
      </c>
      <c r="F144" t="inlineStr">
        <is>
          <t>式</t>
        </is>
      </c>
      <c r="K144">
        <f>INDEX('設定'!$G$23:$G$34,B144)</f>
        <v/>
      </c>
      <c r="L144">
        <f>IF(K144&lt;&gt;1,0,IF(OR(A144="T",A144="S",A144="B"),1,IF(AND(OR(I144="",I144&lt;='設定'!$K$2),OR(J144="",ISNUMBER(SEARCH('設定'!$K$3,J144)))),1,0)))</f>
        <v/>
      </c>
      <c r="M144">
        <f>IF(A144&lt;&gt;"I","",IF(G144="",E144,IFERROR(IF(VLOOKUP(G144,'設定'!$A$9:$B$18,2,FALSE)="",E144,ROUND(VLOOKUP(G144,'設定'!$A$9:$B$18,2,FALSE)*H144,2)),E144)))</f>
        <v/>
      </c>
      <c r="N144">
        <f>IF(L144=1,COUNTIF(L$2:L144,1),"")</f>
        <v/>
      </c>
    </row>
    <row r="145">
      <c r="A145" t="inlineStr">
        <is>
          <t>G</t>
        </is>
      </c>
      <c r="B145" t="n">
        <v>8</v>
      </c>
      <c r="C145" t="inlineStr">
        <is>
          <t>【照明工事】</t>
        </is>
      </c>
      <c r="K145">
        <f>INDEX('設定'!$G$23:$G$34,B145)</f>
        <v/>
      </c>
      <c r="L145">
        <f>IF(K145&lt;&gt;1,0,IF(OR(A145="T",A145="S",A145="B"),1,IF(AND(OR(I145="",I145&lt;='設定'!$K$2),OR(J145="",ISNUMBER(SEARCH('設定'!$K$3,J145)))),1,0)))</f>
        <v/>
      </c>
      <c r="M145">
        <f>IF(A145&lt;&gt;"I","",IF(G145="",E145,IFERROR(IF(VLOOKUP(G145,'設定'!$A$9:$B$18,2,FALSE)="",E145,ROUND(VLOOKUP(G145,'設定'!$A$9:$B$18,2,FALSE)*H145,2)),E145)))</f>
        <v/>
      </c>
      <c r="N145">
        <f>IF(L145=1,COUNTIF(L$2:L145,1),"")</f>
        <v/>
      </c>
    </row>
    <row r="146">
      <c r="A146" t="inlineStr">
        <is>
          <t>I</t>
        </is>
      </c>
      <c r="B146" t="n">
        <v>8</v>
      </c>
      <c r="C146" t="inlineStr">
        <is>
          <t>照明配線</t>
        </is>
      </c>
      <c r="E146" t="n">
        <v>29</v>
      </c>
      <c r="F146" t="inlineStr">
        <is>
          <t>ヶ処</t>
        </is>
      </c>
      <c r="K146">
        <f>INDEX('設定'!$G$23:$G$34,B146)</f>
        <v/>
      </c>
      <c r="L146">
        <f>IF(K146&lt;&gt;1,0,IF(OR(A146="T",A146="S",A146="B"),1,IF(AND(OR(I146="",I146&lt;='設定'!$K$2),OR(J146="",ISNUMBER(SEARCH('設定'!$K$3,J146)))),1,0)))</f>
        <v/>
      </c>
      <c r="M146">
        <f>IF(A146&lt;&gt;"I","",IF(G146="",E146,IFERROR(IF(VLOOKUP(G146,'設定'!$A$9:$B$18,2,FALSE)="",E146,ROUND(VLOOKUP(G146,'設定'!$A$9:$B$18,2,FALSE)*H146,2)),E146)))</f>
        <v/>
      </c>
      <c r="N146">
        <f>IF(L146=1,COUNTIF(L$2:L146,1),"")</f>
        <v/>
      </c>
    </row>
    <row r="147">
      <c r="A147" t="inlineStr">
        <is>
          <t>I</t>
        </is>
      </c>
      <c r="B147" t="n">
        <v>8</v>
      </c>
      <c r="C147" t="inlineStr">
        <is>
          <t>ﾀﾞｳﾝﾗｲﾄ取付</t>
        </is>
      </c>
      <c r="D147" t="inlineStr">
        <is>
          <t>(墨出し・開口・取付）</t>
        </is>
      </c>
      <c r="E147" t="n">
        <v>14</v>
      </c>
      <c r="F147" t="inlineStr">
        <is>
          <t>ヶ処</t>
        </is>
      </c>
      <c r="K147">
        <f>INDEX('設定'!$G$23:$G$34,B147)</f>
        <v/>
      </c>
      <c r="L147">
        <f>IF(K147&lt;&gt;1,0,IF(OR(A147="T",A147="S",A147="B"),1,IF(AND(OR(I147="",I147&lt;='設定'!$K$2),OR(J147="",ISNUMBER(SEARCH('設定'!$K$3,J147)))),1,0)))</f>
        <v/>
      </c>
      <c r="M147">
        <f>IF(A147&lt;&gt;"I","",IF(G147="",E147,IFERROR(IF(VLOOKUP(G147,'設定'!$A$9:$B$18,2,FALSE)="",E147,ROUND(VLOOKUP(G147,'設定'!$A$9:$B$18,2,FALSE)*H147,2)),E147)))</f>
        <v/>
      </c>
      <c r="N147">
        <f>IF(L147=1,COUNTIF(L$2:L147,1),"")</f>
        <v/>
      </c>
    </row>
    <row r="148">
      <c r="A148" t="inlineStr">
        <is>
          <t>I</t>
        </is>
      </c>
      <c r="B148" t="n">
        <v>8</v>
      </c>
      <c r="C148" t="inlineStr">
        <is>
          <t>照明取付</t>
        </is>
      </c>
      <c r="D148" t="inlineStr">
        <is>
          <t>(墨出し・下地・取付）</t>
        </is>
      </c>
      <c r="E148" t="n">
        <v>13</v>
      </c>
      <c r="F148" t="inlineStr">
        <is>
          <t>ヶ処</t>
        </is>
      </c>
      <c r="K148">
        <f>INDEX('設定'!$G$23:$G$34,B148)</f>
        <v/>
      </c>
      <c r="L148">
        <f>IF(K148&lt;&gt;1,0,IF(OR(A148="T",A148="S",A148="B"),1,IF(AND(OR(I148="",I148&lt;='設定'!$K$2),OR(J148="",ISNUMBER(SEARCH('設定'!$K$3,J148)))),1,0)))</f>
        <v/>
      </c>
      <c r="M148">
        <f>IF(A148&lt;&gt;"I","",IF(G148="",E148,IFERROR(IF(VLOOKUP(G148,'設定'!$A$9:$B$18,2,FALSE)="",E148,ROUND(VLOOKUP(G148,'設定'!$A$9:$B$18,2,FALSE)*H148,2)),E148)))</f>
        <v/>
      </c>
      <c r="N148">
        <f>IF(L148=1,COUNTIF(L$2:L148,1),"")</f>
        <v/>
      </c>
    </row>
    <row r="149">
      <c r="A149" t="inlineStr">
        <is>
          <t>I</t>
        </is>
      </c>
      <c r="B149" t="n">
        <v>8</v>
      </c>
      <c r="C149" t="inlineStr">
        <is>
          <t>浴室照明結線</t>
        </is>
      </c>
      <c r="E149" t="n">
        <v>1</v>
      </c>
      <c r="F149" t="inlineStr">
        <is>
          <t>ヶ処</t>
        </is>
      </c>
      <c r="K149">
        <f>INDEX('設定'!$G$23:$G$34,B149)</f>
        <v/>
      </c>
      <c r="L149">
        <f>IF(K149&lt;&gt;1,0,IF(OR(A149="T",A149="S",A149="B"),1,IF(AND(OR(I149="",I149&lt;='設定'!$K$2),OR(J149="",ISNUMBER(SEARCH('設定'!$K$3,J149)))),1,0)))</f>
        <v/>
      </c>
      <c r="M149">
        <f>IF(A149&lt;&gt;"I","",IF(G149="",E149,IFERROR(IF(VLOOKUP(G149,'設定'!$A$9:$B$18,2,FALSE)="",E149,ROUND(VLOOKUP(G149,'設定'!$A$9:$B$18,2,FALSE)*H149,2)),E149)))</f>
        <v/>
      </c>
      <c r="N149">
        <f>IF(L149=1,COUNTIF(L$2:L149,1),"")</f>
        <v/>
      </c>
    </row>
    <row r="150">
      <c r="A150" t="inlineStr">
        <is>
          <t>I</t>
        </is>
      </c>
      <c r="B150" t="n">
        <v>8</v>
      </c>
      <c r="C150" t="inlineStr">
        <is>
          <t>方切ｽｲｯﾁ</t>
        </is>
      </c>
      <c r="E150" t="n">
        <v>16</v>
      </c>
      <c r="F150" t="inlineStr">
        <is>
          <t>ヶ処</t>
        </is>
      </c>
      <c r="K150">
        <f>INDEX('設定'!$G$23:$G$34,B150)</f>
        <v/>
      </c>
      <c r="L150">
        <f>IF(K150&lt;&gt;1,0,IF(OR(A150="T",A150="S",A150="B"),1,IF(AND(OR(I150="",I150&lt;='設定'!$K$2),OR(J150="",ISNUMBER(SEARCH('設定'!$K$3,J150)))),1,0)))</f>
        <v/>
      </c>
      <c r="M150">
        <f>IF(A150&lt;&gt;"I","",IF(G150="",E150,IFERROR(IF(VLOOKUP(G150,'設定'!$A$9:$B$18,2,FALSE)="",E150,ROUND(VLOOKUP(G150,'設定'!$A$9:$B$18,2,FALSE)*H150,2)),E150)))</f>
        <v/>
      </c>
      <c r="N150">
        <f>IF(L150=1,COUNTIF(L$2:L150,1),"")</f>
        <v/>
      </c>
    </row>
    <row r="151">
      <c r="A151" t="inlineStr">
        <is>
          <t>I</t>
        </is>
      </c>
      <c r="B151" t="n">
        <v>8</v>
      </c>
      <c r="C151" t="inlineStr">
        <is>
          <t>3路ｽｲｯﾁ</t>
        </is>
      </c>
      <c r="E151" t="n">
        <v>4</v>
      </c>
      <c r="F151" t="inlineStr">
        <is>
          <t>ヶ処</t>
        </is>
      </c>
      <c r="K151">
        <f>INDEX('設定'!$G$23:$G$34,B151)</f>
        <v/>
      </c>
      <c r="L151">
        <f>IF(K151&lt;&gt;1,0,IF(OR(A151="T",A151="S",A151="B"),1,IF(AND(OR(I151="",I151&lt;='設定'!$K$2),OR(J151="",ISNUMBER(SEARCH('設定'!$K$3,J151)))),1,0)))</f>
        <v/>
      </c>
      <c r="M151">
        <f>IF(A151&lt;&gt;"I","",IF(G151="",E151,IFERROR(IF(VLOOKUP(G151,'設定'!$A$9:$B$18,2,FALSE)="",E151,ROUND(VLOOKUP(G151,'設定'!$A$9:$B$18,2,FALSE)*H151,2)),E151)))</f>
        <v/>
      </c>
      <c r="N151">
        <f>IF(L151=1,COUNTIF(L$2:L151,1),"")</f>
        <v/>
      </c>
    </row>
    <row r="152">
      <c r="A152" t="inlineStr">
        <is>
          <t>I</t>
        </is>
      </c>
      <c r="B152" t="n">
        <v>8</v>
      </c>
      <c r="C152" t="inlineStr">
        <is>
          <t>4路ｽｲｯﾁ</t>
        </is>
      </c>
      <c r="E152" t="n">
        <v>2</v>
      </c>
      <c r="F152" t="inlineStr">
        <is>
          <t>ヶ処</t>
        </is>
      </c>
      <c r="K152">
        <f>INDEX('設定'!$G$23:$G$34,B152)</f>
        <v/>
      </c>
      <c r="L152">
        <f>IF(K152&lt;&gt;1,0,IF(OR(A152="T",A152="S",A152="B"),1,IF(AND(OR(I152="",I152&lt;='設定'!$K$2),OR(J152="",ISNUMBER(SEARCH('設定'!$K$3,J152)))),1,0)))</f>
        <v/>
      </c>
      <c r="M152">
        <f>IF(A152&lt;&gt;"I","",IF(G152="",E152,IFERROR(IF(VLOOKUP(G152,'設定'!$A$9:$B$18,2,FALSE)="",E152,ROUND(VLOOKUP(G152,'設定'!$A$9:$B$18,2,FALSE)*H152,2)),E152)))</f>
        <v/>
      </c>
      <c r="N152">
        <f>IF(L152=1,COUNTIF(L$2:L152,1),"")</f>
        <v/>
      </c>
    </row>
    <row r="153">
      <c r="A153" t="inlineStr">
        <is>
          <t>G</t>
        </is>
      </c>
      <c r="B153" t="n">
        <v>8</v>
      </c>
      <c r="C153" t="inlineStr">
        <is>
          <t>【換気工事】</t>
        </is>
      </c>
      <c r="K153">
        <f>INDEX('設定'!$G$23:$G$34,B153)</f>
        <v/>
      </c>
      <c r="L153">
        <f>IF(K153&lt;&gt;1,0,IF(OR(A153="T",A153="S",A153="B"),1,IF(AND(OR(I153="",I153&lt;='設定'!$K$2),OR(J153="",ISNUMBER(SEARCH('設定'!$K$3,J153)))),1,0)))</f>
        <v/>
      </c>
      <c r="M153">
        <f>IF(A153&lt;&gt;"I","",IF(G153="",E153,IFERROR(IF(VLOOKUP(G153,'設定'!$A$9:$B$18,2,FALSE)="",E153,ROUND(VLOOKUP(G153,'設定'!$A$9:$B$18,2,FALSE)*H153,2)),E153)))</f>
        <v/>
      </c>
      <c r="N153">
        <f>IF(L153=1,COUNTIF(L$2:L153,1),"")</f>
        <v/>
      </c>
    </row>
    <row r="154">
      <c r="A154" t="inlineStr">
        <is>
          <t>I</t>
        </is>
      </c>
      <c r="B154" t="n">
        <v>8</v>
      </c>
      <c r="C154" t="inlineStr">
        <is>
          <t>換気配線</t>
        </is>
      </c>
      <c r="E154" t="n">
        <v>4</v>
      </c>
      <c r="F154" t="inlineStr">
        <is>
          <t>ヶ処</t>
        </is>
      </c>
      <c r="K154">
        <f>INDEX('設定'!$G$23:$G$34,B154)</f>
        <v/>
      </c>
      <c r="L154">
        <f>IF(K154&lt;&gt;1,0,IF(OR(A154="T",A154="S",A154="B"),1,IF(AND(OR(I154="",I154&lt;='設定'!$K$2),OR(J154="",ISNUMBER(SEARCH('設定'!$K$3,J154)))),1,0)))</f>
        <v/>
      </c>
      <c r="M154">
        <f>IF(A154&lt;&gt;"I","",IF(G154="",E154,IFERROR(IF(VLOOKUP(G154,'設定'!$A$9:$B$18,2,FALSE)="",E154,ROUND(VLOOKUP(G154,'設定'!$A$9:$B$18,2,FALSE)*H154,2)),E154)))</f>
        <v/>
      </c>
      <c r="N154">
        <f>IF(L154=1,COUNTIF(L$2:L154,1),"")</f>
        <v/>
      </c>
    </row>
    <row r="155">
      <c r="A155" t="inlineStr">
        <is>
          <t>I</t>
        </is>
      </c>
      <c r="B155" t="n">
        <v>8</v>
      </c>
      <c r="C155" t="inlineStr">
        <is>
          <t>換気取付</t>
        </is>
      </c>
      <c r="E155" t="n">
        <v>4</v>
      </c>
      <c r="F155" t="inlineStr">
        <is>
          <t>ヶ処</t>
        </is>
      </c>
      <c r="K155">
        <f>INDEX('設定'!$G$23:$G$34,B155)</f>
        <v/>
      </c>
      <c r="L155">
        <f>IF(K155&lt;&gt;1,0,IF(OR(A155="T",A155="S",A155="B"),1,IF(AND(OR(I155="",I155&lt;='設定'!$K$2),OR(J155="",ISNUMBER(SEARCH('設定'!$K$3,J155)))),1,0)))</f>
        <v/>
      </c>
      <c r="M155">
        <f>IF(A155&lt;&gt;"I","",IF(G155="",E155,IFERROR(IF(VLOOKUP(G155,'設定'!$A$9:$B$18,2,FALSE)="",E155,ROUND(VLOOKUP(G155,'設定'!$A$9:$B$18,2,FALSE)*H155,2)),E155)))</f>
        <v/>
      </c>
      <c r="N155">
        <f>IF(L155=1,COUNTIF(L$2:L155,1),"")</f>
        <v/>
      </c>
    </row>
    <row r="156">
      <c r="A156" t="inlineStr">
        <is>
          <t>I</t>
        </is>
      </c>
      <c r="B156" t="n">
        <v>8</v>
      </c>
      <c r="C156" t="inlineStr">
        <is>
          <t>自然給気取付</t>
        </is>
      </c>
      <c r="E156" t="n">
        <v>6</v>
      </c>
      <c r="F156" t="inlineStr">
        <is>
          <t>ヶ処</t>
        </is>
      </c>
      <c r="K156">
        <f>INDEX('設定'!$G$23:$G$34,B156)</f>
        <v/>
      </c>
      <c r="L156">
        <f>IF(K156&lt;&gt;1,0,IF(OR(A156="T",A156="S",A156="B"),1,IF(AND(OR(I156="",I156&lt;='設定'!$K$2),OR(J156="",ISNUMBER(SEARCH('設定'!$K$3,J156)))),1,0)))</f>
        <v/>
      </c>
      <c r="M156">
        <f>IF(A156&lt;&gt;"I","",IF(G156="",E156,IFERROR(IF(VLOOKUP(G156,'設定'!$A$9:$B$18,2,FALSE)="",E156,ROUND(VLOOKUP(G156,'設定'!$A$9:$B$18,2,FALSE)*H156,2)),E156)))</f>
        <v/>
      </c>
      <c r="N156">
        <f>IF(L156=1,COUNTIF(L$2:L156,1),"")</f>
        <v/>
      </c>
    </row>
    <row r="157">
      <c r="A157" t="inlineStr">
        <is>
          <t>I</t>
        </is>
      </c>
      <c r="B157" t="n">
        <v>8</v>
      </c>
      <c r="C157" t="inlineStr">
        <is>
          <t>100φ換気ﾀﾞｸﾄ工事</t>
        </is>
      </c>
      <c r="E157" t="n">
        <v>4</v>
      </c>
      <c r="F157" t="inlineStr">
        <is>
          <t>ヶ処</t>
        </is>
      </c>
      <c r="K157">
        <f>INDEX('設定'!$G$23:$G$34,B157)</f>
        <v/>
      </c>
      <c r="L157">
        <f>IF(K157&lt;&gt;1,0,IF(OR(A157="T",A157="S",A157="B"),1,IF(AND(OR(I157="",I157&lt;='設定'!$K$2),OR(J157="",ISNUMBER(SEARCH('設定'!$K$3,J157)))),1,0)))</f>
        <v/>
      </c>
      <c r="M157">
        <f>IF(A157&lt;&gt;"I","",IF(G157="",E157,IFERROR(IF(VLOOKUP(G157,'設定'!$A$9:$B$18,2,FALSE)="",E157,ROUND(VLOOKUP(G157,'設定'!$A$9:$B$18,2,FALSE)*H157,2)),E157)))</f>
        <v/>
      </c>
      <c r="N157">
        <f>IF(L157=1,COUNTIF(L$2:L157,1),"")</f>
        <v/>
      </c>
    </row>
    <row r="158">
      <c r="A158" t="inlineStr">
        <is>
          <t>I</t>
        </is>
      </c>
      <c r="B158" t="n">
        <v>8</v>
      </c>
      <c r="C158" t="inlineStr">
        <is>
          <t>100φ換気ﾀﾞｸﾄ工事</t>
        </is>
      </c>
      <c r="D158" t="inlineStr">
        <is>
          <t>(自然吸気）</t>
        </is>
      </c>
      <c r="E158" t="n">
        <v>6</v>
      </c>
      <c r="F158" t="inlineStr">
        <is>
          <t>ヶ処</t>
        </is>
      </c>
      <c r="K158">
        <f>INDEX('設定'!$G$23:$G$34,B158)</f>
        <v/>
      </c>
      <c r="L158">
        <f>IF(K158&lt;&gt;1,0,IF(OR(A158="T",A158="S",A158="B"),1,IF(AND(OR(I158="",I158&lt;='設定'!$K$2),OR(J158="",ISNUMBER(SEARCH('設定'!$K$3,J158)))),1,0)))</f>
        <v/>
      </c>
      <c r="M158">
        <f>IF(A158&lt;&gt;"I","",IF(G158="",E158,IFERROR(IF(VLOOKUP(G158,'設定'!$A$9:$B$18,2,FALSE)="",E158,ROUND(VLOOKUP(G158,'設定'!$A$9:$B$18,2,FALSE)*H158,2)),E158)))</f>
        <v/>
      </c>
      <c r="N158">
        <f>IF(L158=1,COUNTIF(L$2:L158,1),"")</f>
        <v/>
      </c>
    </row>
    <row r="159">
      <c r="A159" t="inlineStr">
        <is>
          <t>I</t>
        </is>
      </c>
      <c r="B159" t="n">
        <v>8</v>
      </c>
      <c r="C159" t="inlineStr">
        <is>
          <t>浴室換気ﾀﾞｸﾄ工事</t>
        </is>
      </c>
      <c r="E159" t="n">
        <v>1</v>
      </c>
      <c r="F159" t="inlineStr">
        <is>
          <t>ヶ処</t>
        </is>
      </c>
      <c r="K159">
        <f>INDEX('設定'!$G$23:$G$34,B159)</f>
        <v/>
      </c>
      <c r="L159">
        <f>IF(K159&lt;&gt;1,0,IF(OR(A159="T",A159="S",A159="B"),1,IF(AND(OR(I159="",I159&lt;='設定'!$K$2),OR(J159="",ISNUMBER(SEARCH('設定'!$K$3,J159)))),1,0)))</f>
        <v/>
      </c>
      <c r="M159">
        <f>IF(A159&lt;&gt;"I","",IF(G159="",E159,IFERROR(IF(VLOOKUP(G159,'設定'!$A$9:$B$18,2,FALSE)="",E159,ROUND(VLOOKUP(G159,'設定'!$A$9:$B$18,2,FALSE)*H159,2)),E159)))</f>
        <v/>
      </c>
      <c r="N159">
        <f>IF(L159=1,COUNTIF(L$2:L159,1),"")</f>
        <v/>
      </c>
    </row>
    <row r="160">
      <c r="A160" t="inlineStr">
        <is>
          <t>I</t>
        </is>
      </c>
      <c r="B160" t="n">
        <v>8</v>
      </c>
      <c r="C160" t="inlineStr">
        <is>
          <t>ﾚﾝｼﾞﾌｰﾄﾞﾀﾞｸﾄ工事</t>
        </is>
      </c>
      <c r="E160" t="n">
        <v>1</v>
      </c>
      <c r="F160" t="inlineStr">
        <is>
          <t>ヶ処</t>
        </is>
      </c>
      <c r="K160">
        <f>INDEX('設定'!$G$23:$G$34,B160)</f>
        <v/>
      </c>
      <c r="L160">
        <f>IF(K160&lt;&gt;1,0,IF(OR(A160="T",A160="S",A160="B"),1,IF(AND(OR(I160="",I160&lt;='設定'!$K$2),OR(J160="",ISNUMBER(SEARCH('設定'!$K$3,J160)))),1,0)))</f>
        <v/>
      </c>
      <c r="M160">
        <f>IF(A160&lt;&gt;"I","",IF(G160="",E160,IFERROR(IF(VLOOKUP(G160,'設定'!$A$9:$B$18,2,FALSE)="",E160,ROUND(VLOOKUP(G160,'設定'!$A$9:$B$18,2,FALSE)*H160,2)),E160)))</f>
        <v/>
      </c>
      <c r="N160">
        <f>IF(L160=1,COUNTIF(L$2:L160,1),"")</f>
        <v/>
      </c>
    </row>
    <row r="161">
      <c r="A161" t="inlineStr">
        <is>
          <t>I</t>
        </is>
      </c>
      <c r="B161" t="n">
        <v>8</v>
      </c>
      <c r="C161" t="inlineStr">
        <is>
          <t>ﾊﾟｲﾛｯﾄｽｲｯﾁ</t>
        </is>
      </c>
      <c r="E161" t="n">
        <v>4</v>
      </c>
      <c r="F161" t="inlineStr">
        <is>
          <t>ヶ処</t>
        </is>
      </c>
      <c r="K161">
        <f>INDEX('設定'!$G$23:$G$34,B161)</f>
        <v/>
      </c>
      <c r="L161">
        <f>IF(K161&lt;&gt;1,0,IF(OR(A161="T",A161="S",A161="B"),1,IF(AND(OR(I161="",I161&lt;='設定'!$K$2),OR(J161="",ISNUMBER(SEARCH('設定'!$K$3,J161)))),1,0)))</f>
        <v/>
      </c>
      <c r="M161">
        <f>IF(A161&lt;&gt;"I","",IF(G161="",E161,IFERROR(IF(VLOOKUP(G161,'設定'!$A$9:$B$18,2,FALSE)="",E161,ROUND(VLOOKUP(G161,'設定'!$A$9:$B$18,2,FALSE)*H161,2)),E161)))</f>
        <v/>
      </c>
      <c r="N161">
        <f>IF(L161=1,COUNTIF(L$2:L161,1),"")</f>
        <v/>
      </c>
    </row>
    <row r="162">
      <c r="A162" t="inlineStr">
        <is>
          <t>I</t>
        </is>
      </c>
      <c r="B162" t="n">
        <v>8</v>
      </c>
      <c r="C162" t="inlineStr">
        <is>
          <t>100φ貫通部防水処理</t>
        </is>
      </c>
      <c r="E162" t="n">
        <v>10</v>
      </c>
      <c r="F162" t="inlineStr">
        <is>
          <t>ヶ処</t>
        </is>
      </c>
      <c r="K162">
        <f>INDEX('設定'!$G$23:$G$34,B162)</f>
        <v/>
      </c>
      <c r="L162">
        <f>IF(K162&lt;&gt;1,0,IF(OR(A162="T",A162="S",A162="B"),1,IF(AND(OR(I162="",I162&lt;='設定'!$K$2),OR(J162="",ISNUMBER(SEARCH('設定'!$K$3,J162)))),1,0)))</f>
        <v/>
      </c>
      <c r="M162">
        <f>IF(A162&lt;&gt;"I","",IF(G162="",E162,IFERROR(IF(VLOOKUP(G162,'設定'!$A$9:$B$18,2,FALSE)="",E162,ROUND(VLOOKUP(G162,'設定'!$A$9:$B$18,2,FALSE)*H162,2)),E162)))</f>
        <v/>
      </c>
      <c r="N162">
        <f>IF(L162=1,COUNTIF(L$2:L162,1),"")</f>
        <v/>
      </c>
    </row>
    <row r="163">
      <c r="A163" t="inlineStr">
        <is>
          <t>I</t>
        </is>
      </c>
      <c r="B163" t="n">
        <v>8</v>
      </c>
      <c r="C163" t="inlineStr">
        <is>
          <t>150φ貫通部防水処理</t>
        </is>
      </c>
      <c r="E163" t="n">
        <v>1</v>
      </c>
      <c r="F163" t="inlineStr">
        <is>
          <t>ヶ処</t>
        </is>
      </c>
      <c r="K163">
        <f>INDEX('設定'!$G$23:$G$34,B163)</f>
        <v/>
      </c>
      <c r="L163">
        <f>IF(K163&lt;&gt;1,0,IF(OR(A163="T",A163="S",A163="B"),1,IF(AND(OR(I163="",I163&lt;='設定'!$K$2),OR(J163="",ISNUMBER(SEARCH('設定'!$K$3,J163)))),1,0)))</f>
        <v/>
      </c>
      <c r="M163">
        <f>IF(A163&lt;&gt;"I","",IF(G163="",E163,IFERROR(IF(VLOOKUP(G163,'設定'!$A$9:$B$18,2,FALSE)="",E163,ROUND(VLOOKUP(G163,'設定'!$A$9:$B$18,2,FALSE)*H163,2)),E163)))</f>
        <v/>
      </c>
      <c r="N163">
        <f>IF(L163=1,COUNTIF(L$2:L163,1),"")</f>
        <v/>
      </c>
    </row>
    <row r="164">
      <c r="A164" t="inlineStr">
        <is>
          <t>I</t>
        </is>
      </c>
      <c r="B164" t="n">
        <v>8</v>
      </c>
      <c r="C164" t="inlineStr">
        <is>
          <t>100φﾊﾟｲﾌﾟﾌｰﾄﾞ</t>
        </is>
      </c>
      <c r="E164" t="n">
        <v>10</v>
      </c>
      <c r="F164" t="inlineStr">
        <is>
          <t>個</t>
        </is>
      </c>
      <c r="K164">
        <f>INDEX('設定'!$G$23:$G$34,B164)</f>
        <v/>
      </c>
      <c r="L164">
        <f>IF(K164&lt;&gt;1,0,IF(OR(A164="T",A164="S",A164="B"),1,IF(AND(OR(I164="",I164&lt;='設定'!$K$2),OR(J164="",ISNUMBER(SEARCH('設定'!$K$3,J164)))),1,0)))</f>
        <v/>
      </c>
      <c r="M164">
        <f>IF(A164&lt;&gt;"I","",IF(G164="",E164,IFERROR(IF(VLOOKUP(G164,'設定'!$A$9:$B$18,2,FALSE)="",E164,ROUND(VLOOKUP(G164,'設定'!$A$9:$B$18,2,FALSE)*H164,2)),E164)))</f>
        <v/>
      </c>
      <c r="N164">
        <f>IF(L164=1,COUNTIF(L$2:L164,1),"")</f>
        <v/>
      </c>
    </row>
    <row r="165">
      <c r="A165" t="inlineStr">
        <is>
          <t>I</t>
        </is>
      </c>
      <c r="B165" t="n">
        <v>8</v>
      </c>
      <c r="C165" t="inlineStr">
        <is>
          <t>150φﾊﾟｲﾌﾟﾌｰﾄﾞ</t>
        </is>
      </c>
      <c r="E165" t="n">
        <v>1</v>
      </c>
      <c r="F165" t="inlineStr">
        <is>
          <t>個</t>
        </is>
      </c>
      <c r="K165">
        <f>INDEX('設定'!$G$23:$G$34,B165)</f>
        <v/>
      </c>
      <c r="L165">
        <f>IF(K165&lt;&gt;1,0,IF(OR(A165="T",A165="S",A165="B"),1,IF(AND(OR(I165="",I165&lt;='設定'!$K$2),OR(J165="",ISNUMBER(SEARCH('設定'!$K$3,J165)))),1,0)))</f>
        <v/>
      </c>
      <c r="M165">
        <f>IF(A165&lt;&gt;"I","",IF(G165="",E165,IFERROR(IF(VLOOKUP(G165,'設定'!$A$9:$B$18,2,FALSE)="",E165,ROUND(VLOOKUP(G165,'設定'!$A$9:$B$18,2,FALSE)*H165,2)),E165)))</f>
        <v/>
      </c>
      <c r="N165">
        <f>IF(L165=1,COUNTIF(L$2:L165,1),"")</f>
        <v/>
      </c>
    </row>
    <row r="166">
      <c r="A166" t="inlineStr">
        <is>
          <t>G</t>
        </is>
      </c>
      <c r="B166" t="n">
        <v>8</v>
      </c>
      <c r="C166" t="inlineStr">
        <is>
          <t>【コンセント工事】</t>
        </is>
      </c>
      <c r="K166">
        <f>INDEX('設定'!$G$23:$G$34,B166)</f>
        <v/>
      </c>
      <c r="L166">
        <f>IF(K166&lt;&gt;1,0,IF(OR(A166="T",A166="S",A166="B"),1,IF(AND(OR(I166="",I166&lt;='設定'!$K$2),OR(J166="",ISNUMBER(SEARCH('設定'!$K$3,J166)))),1,0)))</f>
        <v/>
      </c>
      <c r="M166">
        <f>IF(A166&lt;&gt;"I","",IF(G166="",E166,IFERROR(IF(VLOOKUP(G166,'設定'!$A$9:$B$18,2,FALSE)="",E166,ROUND(VLOOKUP(G166,'設定'!$A$9:$B$18,2,FALSE)*H166,2)),E166)))</f>
        <v/>
      </c>
      <c r="N166">
        <f>IF(L166=1,COUNTIF(L$2:L166,1),"")</f>
        <v/>
      </c>
    </row>
    <row r="167">
      <c r="A167" t="inlineStr">
        <is>
          <t>I</t>
        </is>
      </c>
      <c r="B167" t="n">
        <v>8</v>
      </c>
      <c r="C167" t="inlineStr">
        <is>
          <t>ｼﾝｸﾞﾙｺﾝｾﾝﾄ</t>
        </is>
      </c>
      <c r="E167" t="n">
        <v>3</v>
      </c>
      <c r="F167" t="inlineStr">
        <is>
          <t>ヶ処</t>
        </is>
      </c>
      <c r="K167">
        <f>INDEX('設定'!$G$23:$G$34,B167)</f>
        <v/>
      </c>
      <c r="L167">
        <f>IF(K167&lt;&gt;1,0,IF(OR(A167="T",A167="S",A167="B"),1,IF(AND(OR(I167="",I167&lt;='設定'!$K$2),OR(J167="",ISNUMBER(SEARCH('設定'!$K$3,J167)))),1,0)))</f>
        <v/>
      </c>
      <c r="M167">
        <f>IF(A167&lt;&gt;"I","",IF(G167="",E167,IFERROR(IF(VLOOKUP(G167,'設定'!$A$9:$B$18,2,FALSE)="",E167,ROUND(VLOOKUP(G167,'設定'!$A$9:$B$18,2,FALSE)*H167,2)),E167)))</f>
        <v/>
      </c>
      <c r="N167">
        <f>IF(L167=1,COUNTIF(L$2:L167,1),"")</f>
        <v/>
      </c>
    </row>
    <row r="168">
      <c r="A168" t="inlineStr">
        <is>
          <t>I</t>
        </is>
      </c>
      <c r="B168" t="n">
        <v>8</v>
      </c>
      <c r="C168" t="inlineStr">
        <is>
          <t>ﾀﾞﾌﾞﾙｺﾝｾﾝﾄ</t>
        </is>
      </c>
      <c r="E168" t="n">
        <v>18</v>
      </c>
      <c r="F168" t="inlineStr">
        <is>
          <t>ヶ処</t>
        </is>
      </c>
      <c r="K168">
        <f>INDEX('設定'!$G$23:$G$34,B168)</f>
        <v/>
      </c>
      <c r="L168">
        <f>IF(K168&lt;&gt;1,0,IF(OR(A168="T",A168="S",A168="B"),1,IF(AND(OR(I168="",I168&lt;='設定'!$K$2),OR(J168="",ISNUMBER(SEARCH('設定'!$K$3,J168)))),1,0)))</f>
        <v/>
      </c>
      <c r="M168">
        <f>IF(A168&lt;&gt;"I","",IF(G168="",E168,IFERROR(IF(VLOOKUP(G168,'設定'!$A$9:$B$18,2,FALSE)="",E168,ROUND(VLOOKUP(G168,'設定'!$A$9:$B$18,2,FALSE)*H168,2)),E168)))</f>
        <v/>
      </c>
      <c r="N168">
        <f>IF(L168=1,COUNTIF(L$2:L168,1),"")</f>
        <v/>
      </c>
    </row>
    <row r="169">
      <c r="A169" t="inlineStr">
        <is>
          <t>I</t>
        </is>
      </c>
      <c r="B169" t="n">
        <v>8</v>
      </c>
      <c r="C169" t="inlineStr">
        <is>
          <t>4口ｺﾝｾﾝﾄ</t>
        </is>
      </c>
      <c r="E169" t="n">
        <v>1</v>
      </c>
      <c r="F169" t="inlineStr">
        <is>
          <t>ヶ処</t>
        </is>
      </c>
      <c r="K169">
        <f>INDEX('設定'!$G$23:$G$34,B169)</f>
        <v/>
      </c>
      <c r="L169">
        <f>IF(K169&lt;&gt;1,0,IF(OR(A169="T",A169="S",A169="B"),1,IF(AND(OR(I169="",I169&lt;='設定'!$K$2),OR(J169="",ISNUMBER(SEARCH('設定'!$K$3,J169)))),1,0)))</f>
        <v/>
      </c>
      <c r="M169">
        <f>IF(A169&lt;&gt;"I","",IF(G169="",E169,IFERROR(IF(VLOOKUP(G169,'設定'!$A$9:$B$18,2,FALSE)="",E169,ROUND(VLOOKUP(G169,'設定'!$A$9:$B$18,2,FALSE)*H169,2)),E169)))</f>
        <v/>
      </c>
      <c r="N169">
        <f>IF(L169=1,COUNTIF(L$2:L169,1),"")</f>
        <v/>
      </c>
    </row>
    <row r="170">
      <c r="A170" t="inlineStr">
        <is>
          <t>I</t>
        </is>
      </c>
      <c r="B170" t="n">
        <v>8</v>
      </c>
      <c r="C170" t="inlineStr">
        <is>
          <t>ｱｰｽ付きｺﾝｾﾝﾄ</t>
        </is>
      </c>
      <c r="E170" t="n">
        <v>3</v>
      </c>
      <c r="F170" t="inlineStr">
        <is>
          <t>ヶ処</t>
        </is>
      </c>
      <c r="K170">
        <f>INDEX('設定'!$G$23:$G$34,B170)</f>
        <v/>
      </c>
      <c r="L170">
        <f>IF(K170&lt;&gt;1,0,IF(OR(A170="T",A170="S",A170="B"),1,IF(AND(OR(I170="",I170&lt;='設定'!$K$2),OR(J170="",ISNUMBER(SEARCH('設定'!$K$3,J170)))),1,0)))</f>
        <v/>
      </c>
      <c r="M170">
        <f>IF(A170&lt;&gt;"I","",IF(G170="",E170,IFERROR(IF(VLOOKUP(G170,'設定'!$A$9:$B$18,2,FALSE)="",E170,ROUND(VLOOKUP(G170,'設定'!$A$9:$B$18,2,FALSE)*H170,2)),E170)))</f>
        <v/>
      </c>
      <c r="N170">
        <f>IF(L170=1,COUNTIF(L$2:L170,1),"")</f>
        <v/>
      </c>
    </row>
    <row r="171">
      <c r="A171" t="inlineStr">
        <is>
          <t>I</t>
        </is>
      </c>
      <c r="B171" t="n">
        <v>8</v>
      </c>
      <c r="C171" t="inlineStr">
        <is>
          <t>防水ｺﾝｾﾝﾄ</t>
        </is>
      </c>
      <c r="D171" t="inlineStr">
        <is>
          <t>(ｽﾏｰﾄｼﾘｰｽﾞ)</t>
        </is>
      </c>
      <c r="E171" t="n">
        <v>2</v>
      </c>
      <c r="F171" t="inlineStr">
        <is>
          <t>ヶ処</t>
        </is>
      </c>
      <c r="K171">
        <f>INDEX('設定'!$G$23:$G$34,B171)</f>
        <v/>
      </c>
      <c r="L171">
        <f>IF(K171&lt;&gt;1,0,IF(OR(A171="T",A171="S",A171="B"),1,IF(AND(OR(I171="",I171&lt;='設定'!$K$2),OR(J171="",ISNUMBER(SEARCH('設定'!$K$3,J171)))),1,0)))</f>
        <v/>
      </c>
      <c r="M171">
        <f>IF(A171&lt;&gt;"I","",IF(G171="",E171,IFERROR(IF(VLOOKUP(G171,'設定'!$A$9:$B$18,2,FALSE)="",E171,ROUND(VLOOKUP(G171,'設定'!$A$9:$B$18,2,FALSE)*H171,2)),E171)))</f>
        <v/>
      </c>
      <c r="N171">
        <f>IF(L171=1,COUNTIF(L$2:L171,1),"")</f>
        <v/>
      </c>
    </row>
    <row r="172">
      <c r="A172" t="inlineStr">
        <is>
          <t>G</t>
        </is>
      </c>
      <c r="B172" t="n">
        <v>8</v>
      </c>
      <c r="C172" t="inlineStr">
        <is>
          <t>【専用回路工事】</t>
        </is>
      </c>
      <c r="K172">
        <f>INDEX('設定'!$G$23:$G$34,B172)</f>
        <v/>
      </c>
      <c r="L172">
        <f>IF(K172&lt;&gt;1,0,IF(OR(A172="T",A172="S",A172="B"),1,IF(AND(OR(I172="",I172&lt;='設定'!$K$2),OR(J172="",ISNUMBER(SEARCH('設定'!$K$3,J172)))),1,0)))</f>
        <v/>
      </c>
      <c r="M172">
        <f>IF(A172&lt;&gt;"I","",IF(G172="",E172,IFERROR(IF(VLOOKUP(G172,'設定'!$A$9:$B$18,2,FALSE)="",E172,ROUND(VLOOKUP(G172,'設定'!$A$9:$B$18,2,FALSE)*H172,2)),E172)))</f>
        <v/>
      </c>
      <c r="N172">
        <f>IF(L172=1,COUNTIF(L$2:L172,1),"")</f>
        <v/>
      </c>
    </row>
    <row r="173">
      <c r="A173" t="inlineStr">
        <is>
          <t>I</t>
        </is>
      </c>
      <c r="B173" t="n">
        <v>8</v>
      </c>
      <c r="C173" t="inlineStr">
        <is>
          <t>家電専用回路ｺﾝｾﾝﾄ</t>
        </is>
      </c>
      <c r="E173" t="n">
        <v>2</v>
      </c>
      <c r="F173" t="inlineStr">
        <is>
          <t>ヶ処</t>
        </is>
      </c>
      <c r="K173">
        <f>INDEX('設定'!$G$23:$G$34,B173)</f>
        <v/>
      </c>
      <c r="L173">
        <f>IF(K173&lt;&gt;1,0,IF(OR(A173="T",A173="S",A173="B"),1,IF(AND(OR(I173="",I173&lt;='設定'!$K$2),OR(J173="",ISNUMBER(SEARCH('設定'!$K$3,J173)))),1,0)))</f>
        <v/>
      </c>
      <c r="M173">
        <f>IF(A173&lt;&gt;"I","",IF(G173="",E173,IFERROR(IF(VLOOKUP(G173,'設定'!$A$9:$B$18,2,FALSE)="",E173,ROUND(VLOOKUP(G173,'設定'!$A$9:$B$18,2,FALSE)*H173,2)),E173)))</f>
        <v/>
      </c>
      <c r="N173">
        <f>IF(L173=1,COUNTIF(L$2:L173,1),"")</f>
        <v/>
      </c>
    </row>
    <row r="174">
      <c r="A174" t="inlineStr">
        <is>
          <t>I</t>
        </is>
      </c>
      <c r="B174" t="n">
        <v>8</v>
      </c>
      <c r="C174" t="inlineStr">
        <is>
          <t>IHｸｯｷﾝｸﾞ</t>
        </is>
      </c>
      <c r="E174" t="n">
        <v>1</v>
      </c>
      <c r="F174" t="inlineStr">
        <is>
          <t>ヶ処</t>
        </is>
      </c>
      <c r="K174">
        <f>INDEX('設定'!$G$23:$G$34,B174)</f>
        <v/>
      </c>
      <c r="L174">
        <f>IF(K174&lt;&gt;1,0,IF(OR(A174="T",A174="S",A174="B"),1,IF(AND(OR(I174="",I174&lt;='設定'!$K$2),OR(J174="",ISNUMBER(SEARCH('設定'!$K$3,J174)))),1,0)))</f>
        <v/>
      </c>
      <c r="M174">
        <f>IF(A174&lt;&gt;"I","",IF(G174="",E174,IFERROR(IF(VLOOKUP(G174,'設定'!$A$9:$B$18,2,FALSE)="",E174,ROUND(VLOOKUP(G174,'設定'!$A$9:$B$18,2,FALSE)*H174,2)),E174)))</f>
        <v/>
      </c>
      <c r="N174">
        <f>IF(L174=1,COUNTIF(L$2:L174,1),"")</f>
        <v/>
      </c>
    </row>
    <row r="175">
      <c r="A175" t="inlineStr">
        <is>
          <t>I</t>
        </is>
      </c>
      <c r="B175" t="n">
        <v>8</v>
      </c>
      <c r="C175" t="inlineStr">
        <is>
          <t>ｴｱｺﾝ専用回路100V</t>
        </is>
      </c>
      <c r="E175" t="n">
        <v>3</v>
      </c>
      <c r="F175" t="inlineStr">
        <is>
          <t>ヶ処</t>
        </is>
      </c>
      <c r="K175">
        <f>INDEX('設定'!$G$23:$G$34,B175)</f>
        <v/>
      </c>
      <c r="L175">
        <f>IF(K175&lt;&gt;1,0,IF(OR(A175="T",A175="S",A175="B"),1,IF(AND(OR(I175="",I175&lt;='設定'!$K$2),OR(J175="",ISNUMBER(SEARCH('設定'!$K$3,J175)))),1,0)))</f>
        <v/>
      </c>
      <c r="M175">
        <f>IF(A175&lt;&gt;"I","",IF(G175="",E175,IFERROR(IF(VLOOKUP(G175,'設定'!$A$9:$B$18,2,FALSE)="",E175,ROUND(VLOOKUP(G175,'設定'!$A$9:$B$18,2,FALSE)*H175,2)),E175)))</f>
        <v/>
      </c>
      <c r="N175">
        <f>IF(L175=1,COUNTIF(L$2:L175,1),"")</f>
        <v/>
      </c>
    </row>
    <row r="176">
      <c r="A176" t="inlineStr">
        <is>
          <t>I</t>
        </is>
      </c>
      <c r="B176" t="n">
        <v>8</v>
      </c>
      <c r="C176" t="inlineStr">
        <is>
          <t>ｴｱｺﾝ専用回路200V</t>
        </is>
      </c>
      <c r="E176" t="n">
        <v>1</v>
      </c>
      <c r="F176" t="inlineStr">
        <is>
          <t>ヶ処</t>
        </is>
      </c>
      <c r="K176">
        <f>INDEX('設定'!$G$23:$G$34,B176)</f>
        <v/>
      </c>
      <c r="L176">
        <f>IF(K176&lt;&gt;1,0,IF(OR(A176="T",A176="S",A176="B"),1,IF(AND(OR(I176="",I176&lt;='設定'!$K$2),OR(J176="",ISNUMBER(SEARCH('設定'!$K$3,J176)))),1,0)))</f>
        <v/>
      </c>
      <c r="M176">
        <f>IF(A176&lt;&gt;"I","",IF(G176="",E176,IFERROR(IF(VLOOKUP(G176,'設定'!$A$9:$B$18,2,FALSE)="",E176,ROUND(VLOOKUP(G176,'設定'!$A$9:$B$18,2,FALSE)*H176,2)),E176)))</f>
        <v/>
      </c>
      <c r="N176">
        <f>IF(L176=1,COUNTIF(L$2:L176,1),"")</f>
        <v/>
      </c>
    </row>
    <row r="177">
      <c r="A177" t="inlineStr">
        <is>
          <t>I</t>
        </is>
      </c>
      <c r="B177" t="n">
        <v>8</v>
      </c>
      <c r="C177" t="inlineStr">
        <is>
          <t>食洗</t>
        </is>
      </c>
      <c r="E177" t="n">
        <v>1</v>
      </c>
      <c r="F177" t="inlineStr">
        <is>
          <t>ヶ処</t>
        </is>
      </c>
      <c r="K177">
        <f>INDEX('設定'!$G$23:$G$34,B177)</f>
        <v/>
      </c>
      <c r="L177">
        <f>IF(K177&lt;&gt;1,0,IF(OR(A177="T",A177="S",A177="B"),1,IF(AND(OR(I177="",I177&lt;='設定'!$K$2),OR(J177="",ISNUMBER(SEARCH('設定'!$K$3,J177)))),1,0)))</f>
        <v/>
      </c>
      <c r="M177">
        <f>IF(A177&lt;&gt;"I","",IF(G177="",E177,IFERROR(IF(VLOOKUP(G177,'設定'!$A$9:$B$18,2,FALSE)="",E177,ROUND(VLOOKUP(G177,'設定'!$A$9:$B$18,2,FALSE)*H177,2)),E177)))</f>
        <v/>
      </c>
      <c r="N177">
        <f>IF(L177=1,COUNTIF(L$2:L177,1),"")</f>
        <v/>
      </c>
    </row>
    <row r="178">
      <c r="A178" t="inlineStr">
        <is>
          <t>I</t>
        </is>
      </c>
      <c r="B178" t="n">
        <v>8</v>
      </c>
      <c r="C178" t="inlineStr">
        <is>
          <t>洗濯機専用回路</t>
        </is>
      </c>
      <c r="E178" t="n">
        <v>1</v>
      </c>
      <c r="F178" t="inlineStr">
        <is>
          <t>ヶ処</t>
        </is>
      </c>
      <c r="K178">
        <f>INDEX('設定'!$G$23:$G$34,B178)</f>
        <v/>
      </c>
      <c r="L178">
        <f>IF(K178&lt;&gt;1,0,IF(OR(A178="T",A178="S",A178="B"),1,IF(AND(OR(I178="",I178&lt;='設定'!$K$2),OR(J178="",ISNUMBER(SEARCH('設定'!$K$3,J178)))),1,0)))</f>
        <v/>
      </c>
      <c r="M178">
        <f>IF(A178&lt;&gt;"I","",IF(G178="",E178,IFERROR(IF(VLOOKUP(G178,'設定'!$A$9:$B$18,2,FALSE)="",E178,ROUND(VLOOKUP(G178,'設定'!$A$9:$B$18,2,FALSE)*H178,2)),E178)))</f>
        <v/>
      </c>
      <c r="N178">
        <f>IF(L178=1,COUNTIF(L$2:L178,1),"")</f>
        <v/>
      </c>
    </row>
    <row r="179">
      <c r="A179" t="inlineStr">
        <is>
          <t>I</t>
        </is>
      </c>
      <c r="B179" t="n">
        <v>8</v>
      </c>
      <c r="C179" t="inlineStr">
        <is>
          <t>浴室換気暖房</t>
        </is>
      </c>
      <c r="D179" t="inlineStr">
        <is>
          <t>(電源結線含む）</t>
        </is>
      </c>
      <c r="E179" t="n">
        <v>1</v>
      </c>
      <c r="F179" t="inlineStr">
        <is>
          <t>ヶ処</t>
        </is>
      </c>
      <c r="K179">
        <f>INDEX('設定'!$G$23:$G$34,B179)</f>
        <v/>
      </c>
      <c r="L179">
        <f>IF(K179&lt;&gt;1,0,IF(OR(A179="T",A179="S",A179="B"),1,IF(AND(OR(I179="",I179&lt;='設定'!$K$2),OR(J179="",ISNUMBER(SEARCH('設定'!$K$3,J179)))),1,0)))</f>
        <v/>
      </c>
      <c r="M179">
        <f>IF(A179&lt;&gt;"I","",IF(G179="",E179,IFERROR(IF(VLOOKUP(G179,'設定'!$A$9:$B$18,2,FALSE)="",E179,ROUND(VLOOKUP(G179,'設定'!$A$9:$B$18,2,FALSE)*H179,2)),E179)))</f>
        <v/>
      </c>
      <c r="N179">
        <f>IF(L179=1,COUNTIF(L$2:L179,1),"")</f>
        <v/>
      </c>
    </row>
    <row r="180">
      <c r="A180" t="inlineStr">
        <is>
          <t>G</t>
        </is>
      </c>
      <c r="B180" t="n">
        <v>8</v>
      </c>
      <c r="C180" t="inlineStr">
        <is>
          <t>【弱電工事】</t>
        </is>
      </c>
      <c r="K180">
        <f>INDEX('設定'!$G$23:$G$34,B180)</f>
        <v/>
      </c>
      <c r="L180">
        <f>IF(K180&lt;&gt;1,0,IF(OR(A180="T",A180="S",A180="B"),1,IF(AND(OR(I180="",I180&lt;='設定'!$K$2),OR(J180="",ISNUMBER(SEARCH('設定'!$K$3,J180)))),1,0)))</f>
        <v/>
      </c>
      <c r="M180">
        <f>IF(A180&lt;&gt;"I","",IF(G180="",E180,IFERROR(IF(VLOOKUP(G180,'設定'!$A$9:$B$18,2,FALSE)="",E180,ROUND(VLOOKUP(G180,'設定'!$A$9:$B$18,2,FALSE)*H180,2)),E180)))</f>
        <v/>
      </c>
      <c r="N180">
        <f>IF(L180=1,COUNTIF(L$2:L180,1),"")</f>
        <v/>
      </c>
    </row>
    <row r="181">
      <c r="A181" t="inlineStr">
        <is>
          <t>I</t>
        </is>
      </c>
      <c r="B181" t="n">
        <v>8</v>
      </c>
      <c r="C181" t="inlineStr">
        <is>
          <t>TVｺﾝｾﾝﾄ</t>
        </is>
      </c>
      <c r="E181" t="n">
        <v>4</v>
      </c>
      <c r="F181" t="inlineStr">
        <is>
          <t>ヶ処</t>
        </is>
      </c>
      <c r="K181">
        <f>INDEX('設定'!$G$23:$G$34,B181)</f>
        <v/>
      </c>
      <c r="L181">
        <f>IF(K181&lt;&gt;1,0,IF(OR(A181="T",A181="S",A181="B"),1,IF(AND(OR(I181="",I181&lt;='設定'!$K$2),OR(J181="",ISNUMBER(SEARCH('設定'!$K$3,J181)))),1,0)))</f>
        <v/>
      </c>
      <c r="M181">
        <f>IF(A181&lt;&gt;"I","",IF(G181="",E181,IFERROR(IF(VLOOKUP(G181,'設定'!$A$9:$B$18,2,FALSE)="",E181,ROUND(VLOOKUP(G181,'設定'!$A$9:$B$18,2,FALSE)*H181,2)),E181)))</f>
        <v/>
      </c>
      <c r="N181">
        <f>IF(L181=1,COUNTIF(L$2:L181,1),"")</f>
        <v/>
      </c>
    </row>
    <row r="182">
      <c r="A182" t="inlineStr">
        <is>
          <t>I</t>
        </is>
      </c>
      <c r="B182" t="n">
        <v>8</v>
      </c>
      <c r="C182" t="inlineStr">
        <is>
          <t>NET一次側配管・入線ｶﾊﾞｰ</t>
        </is>
      </c>
      <c r="D182" t="inlineStr">
        <is>
          <t>(配管のみ）</t>
        </is>
      </c>
      <c r="E182" t="n">
        <v>1</v>
      </c>
      <c r="F182" t="inlineStr">
        <is>
          <t>ヶ処</t>
        </is>
      </c>
      <c r="K182">
        <f>INDEX('設定'!$G$23:$G$34,B182)</f>
        <v/>
      </c>
      <c r="L182">
        <f>IF(K182&lt;&gt;1,0,IF(OR(A182="T",A182="S",A182="B"),1,IF(AND(OR(I182="",I182&lt;='設定'!$K$2),OR(J182="",ISNUMBER(SEARCH('設定'!$K$3,J182)))),1,0)))</f>
        <v/>
      </c>
      <c r="M182">
        <f>IF(A182&lt;&gt;"I","",IF(G182="",E182,IFERROR(IF(VLOOKUP(G182,'設定'!$A$9:$B$18,2,FALSE)="",E182,ROUND(VLOOKUP(G182,'設定'!$A$9:$B$18,2,FALSE)*H182,2)),E182)))</f>
        <v/>
      </c>
      <c r="N182">
        <f>IF(L182=1,COUNTIF(L$2:L182,1),"")</f>
        <v/>
      </c>
    </row>
    <row r="183">
      <c r="A183" t="inlineStr">
        <is>
          <t>I</t>
        </is>
      </c>
      <c r="B183" t="n">
        <v>8</v>
      </c>
      <c r="C183" t="inlineStr">
        <is>
          <t>ﾄﾞｱﾎﾝ工事</t>
        </is>
      </c>
      <c r="E183" t="n">
        <v>1</v>
      </c>
      <c r="F183" t="inlineStr">
        <is>
          <t>式</t>
        </is>
      </c>
      <c r="K183">
        <f>INDEX('設定'!$G$23:$G$34,B183)</f>
        <v/>
      </c>
      <c r="L183">
        <f>IF(K183&lt;&gt;1,0,IF(OR(A183="T",A183="S",A183="B"),1,IF(AND(OR(I183="",I183&lt;='設定'!$K$2),OR(J183="",ISNUMBER(SEARCH('設定'!$K$3,J183)))),1,0)))</f>
        <v/>
      </c>
      <c r="M183">
        <f>IF(A183&lt;&gt;"I","",IF(G183="",E183,IFERROR(IF(VLOOKUP(G183,'設定'!$A$9:$B$18,2,FALSE)="",E183,ROUND(VLOOKUP(G183,'設定'!$A$9:$B$18,2,FALSE)*H183,2)),E183)))</f>
        <v/>
      </c>
      <c r="N183">
        <f>IF(L183=1,COUNTIF(L$2:L183,1),"")</f>
        <v/>
      </c>
    </row>
    <row r="184">
      <c r="A184" t="inlineStr">
        <is>
          <t>I</t>
        </is>
      </c>
      <c r="B184" t="n">
        <v>8</v>
      </c>
      <c r="C184" t="inlineStr">
        <is>
          <t>ﾎﾞｲﾗｰﾘﾓｺﾝ工事</t>
        </is>
      </c>
      <c r="E184" t="n">
        <v>1</v>
      </c>
      <c r="F184" t="inlineStr">
        <is>
          <t>式</t>
        </is>
      </c>
      <c r="K184">
        <f>INDEX('設定'!$G$23:$G$34,B184)</f>
        <v/>
      </c>
      <c r="L184">
        <f>IF(K184&lt;&gt;1,0,IF(OR(A184="T",A184="S",A184="B"),1,IF(AND(OR(I184="",I184&lt;='設定'!$K$2),OR(J184="",ISNUMBER(SEARCH('設定'!$K$3,J184)))),1,0)))</f>
        <v/>
      </c>
      <c r="M184">
        <f>IF(A184&lt;&gt;"I","",IF(G184="",E184,IFERROR(IF(VLOOKUP(G184,'設定'!$A$9:$B$18,2,FALSE)="",E184,ROUND(VLOOKUP(G184,'設定'!$A$9:$B$18,2,FALSE)*H184,2)),E184)))</f>
        <v/>
      </c>
      <c r="N184">
        <f>IF(L184=1,COUNTIF(L$2:L184,1),"")</f>
        <v/>
      </c>
    </row>
    <row r="185">
      <c r="A185" t="inlineStr">
        <is>
          <t>G</t>
        </is>
      </c>
      <c r="B185" t="n">
        <v>8</v>
      </c>
      <c r="C185" t="inlineStr">
        <is>
          <t>【ｱｰｽ工事】</t>
        </is>
      </c>
      <c r="K185">
        <f>INDEX('設定'!$G$23:$G$34,B185)</f>
        <v/>
      </c>
      <c r="L185">
        <f>IF(K185&lt;&gt;1,0,IF(OR(A185="T",A185="S",A185="B"),1,IF(AND(OR(I185="",I185&lt;='設定'!$K$2),OR(J185="",ISNUMBER(SEARCH('設定'!$K$3,J185)))),1,0)))</f>
        <v/>
      </c>
      <c r="M185">
        <f>IF(A185&lt;&gt;"I","",IF(G185="",E185,IFERROR(IF(VLOOKUP(G185,'設定'!$A$9:$B$18,2,FALSE)="",E185,ROUND(VLOOKUP(G185,'設定'!$A$9:$B$18,2,FALSE)*H185,2)),E185)))</f>
        <v/>
      </c>
      <c r="N185">
        <f>IF(L185=1,COUNTIF(L$2:L185,1),"")</f>
        <v/>
      </c>
    </row>
    <row r="186">
      <c r="A186" t="inlineStr">
        <is>
          <t>I</t>
        </is>
      </c>
      <c r="B186" t="n">
        <v>8</v>
      </c>
      <c r="C186" t="inlineStr">
        <is>
          <t>ｱｰｽ線IV2SQ</t>
        </is>
      </c>
      <c r="E186" t="n">
        <v>100</v>
      </c>
      <c r="F186" t="inlineStr">
        <is>
          <t>ⅿ</t>
        </is>
      </c>
      <c r="K186">
        <f>INDEX('設定'!$G$23:$G$34,B186)</f>
        <v/>
      </c>
      <c r="L186">
        <f>IF(K186&lt;&gt;1,0,IF(OR(A186="T",A186="S",A186="B"),1,IF(AND(OR(I186="",I186&lt;='設定'!$K$2),OR(J186="",ISNUMBER(SEARCH('設定'!$K$3,J186)))),1,0)))</f>
        <v/>
      </c>
      <c r="M186">
        <f>IF(A186&lt;&gt;"I","",IF(G186="",E186,IFERROR(IF(VLOOKUP(G186,'設定'!$A$9:$B$18,2,FALSE)="",E186,ROUND(VLOOKUP(G186,'設定'!$A$9:$B$18,2,FALSE)*H186,2)),E186)))</f>
        <v/>
      </c>
      <c r="N186">
        <f>IF(L186=1,COUNTIF(L$2:L186,1),"")</f>
        <v/>
      </c>
    </row>
    <row r="187">
      <c r="A187" t="inlineStr">
        <is>
          <t>I</t>
        </is>
      </c>
      <c r="B187" t="n">
        <v>8</v>
      </c>
      <c r="C187" t="inlineStr">
        <is>
          <t>ｱｰｽ棒φ7*900</t>
        </is>
      </c>
      <c r="E187" t="n">
        <v>1</v>
      </c>
      <c r="F187" t="inlineStr">
        <is>
          <t>個</t>
        </is>
      </c>
      <c r="K187">
        <f>INDEX('設定'!$G$23:$G$34,B187)</f>
        <v/>
      </c>
      <c r="L187">
        <f>IF(K187&lt;&gt;1,0,IF(OR(A187="T",A187="S",A187="B"),1,IF(AND(OR(I187="",I187&lt;='設定'!$K$2),OR(J187="",ISNUMBER(SEARCH('設定'!$K$3,J187)))),1,0)))</f>
        <v/>
      </c>
      <c r="M187">
        <f>IF(A187&lt;&gt;"I","",IF(G187="",E187,IFERROR(IF(VLOOKUP(G187,'設定'!$A$9:$B$18,2,FALSE)="",E187,ROUND(VLOOKUP(G187,'設定'!$A$9:$B$18,2,FALSE)*H187,2)),E187)))</f>
        <v/>
      </c>
      <c r="N187">
        <f>IF(L187=1,COUNTIF(L$2:L187,1),"")</f>
        <v/>
      </c>
    </row>
    <row r="188">
      <c r="A188" t="inlineStr">
        <is>
          <t>I</t>
        </is>
      </c>
      <c r="B188" t="n">
        <v>8</v>
      </c>
      <c r="C188" t="inlineStr">
        <is>
          <t>電工費</t>
        </is>
      </c>
      <c r="E188" t="n">
        <v>1</v>
      </c>
      <c r="F188" t="inlineStr">
        <is>
          <t>式</t>
        </is>
      </c>
      <c r="K188">
        <f>INDEX('設定'!$G$23:$G$34,B188)</f>
        <v/>
      </c>
      <c r="L188">
        <f>IF(K188&lt;&gt;1,0,IF(OR(A188="T",A188="S",A188="B"),1,IF(AND(OR(I188="",I188&lt;='設定'!$K$2),OR(J188="",ISNUMBER(SEARCH('設定'!$K$3,J188)))),1,0)))</f>
        <v/>
      </c>
      <c r="M188">
        <f>IF(A188&lt;&gt;"I","",IF(G188="",E188,IFERROR(IF(VLOOKUP(G188,'設定'!$A$9:$B$18,2,FALSE)="",E188,ROUND(VLOOKUP(G188,'設定'!$A$9:$B$18,2,FALSE)*H188,2)),E188)))</f>
        <v/>
      </c>
      <c r="N188">
        <f>IF(L188=1,COUNTIF(L$2:L188,1),"")</f>
        <v/>
      </c>
    </row>
    <row r="189">
      <c r="A189" t="inlineStr">
        <is>
          <t>G</t>
        </is>
      </c>
      <c r="B189" t="n">
        <v>8</v>
      </c>
      <c r="C189" t="inlineStr">
        <is>
          <t>【防水気密工事】</t>
        </is>
      </c>
      <c r="K189">
        <f>INDEX('設定'!$G$23:$G$34,B189)</f>
        <v/>
      </c>
      <c r="L189">
        <f>IF(K189&lt;&gt;1,0,IF(OR(A189="T",A189="S",A189="B"),1,IF(AND(OR(I189="",I189&lt;='設定'!$K$2),OR(J189="",ISNUMBER(SEARCH('設定'!$K$3,J189)))),1,0)))</f>
        <v/>
      </c>
      <c r="M189">
        <f>IF(A189&lt;&gt;"I","",IF(G189="",E189,IFERROR(IF(VLOOKUP(G189,'設定'!$A$9:$B$18,2,FALSE)="",E189,ROUND(VLOOKUP(G189,'設定'!$A$9:$B$18,2,FALSE)*H189,2)),E189)))</f>
        <v/>
      </c>
      <c r="N189">
        <f>IF(L189=1,COUNTIF(L$2:L189,1),"")</f>
        <v/>
      </c>
    </row>
    <row r="190">
      <c r="A190" t="inlineStr">
        <is>
          <t>I</t>
        </is>
      </c>
      <c r="B190" t="n">
        <v>8</v>
      </c>
      <c r="C190" t="inlineStr">
        <is>
          <t>ｴｱｺﾝ用先行ｽﾘｰﾌﾞ及び防水気密処理</t>
        </is>
      </c>
      <c r="E190" t="n">
        <v>4</v>
      </c>
      <c r="F190" t="inlineStr">
        <is>
          <t>ヶ処</t>
        </is>
      </c>
      <c r="K190">
        <f>INDEX('設定'!$G$23:$G$34,B190)</f>
        <v/>
      </c>
      <c r="L190">
        <f>IF(K190&lt;&gt;1,0,IF(OR(A190="T",A190="S",A190="B"),1,IF(AND(OR(I190="",I190&lt;='設定'!$K$2),OR(J190="",ISNUMBER(SEARCH('設定'!$K$3,J190)))),1,0)))</f>
        <v/>
      </c>
      <c r="M190">
        <f>IF(A190&lt;&gt;"I","",IF(G190="",E190,IFERROR(IF(VLOOKUP(G190,'設定'!$A$9:$B$18,2,FALSE)="",E190,ROUND(VLOOKUP(G190,'設定'!$A$9:$B$18,2,FALSE)*H190,2)),E190)))</f>
        <v/>
      </c>
      <c r="N190">
        <f>IF(L190=1,COUNTIF(L$2:L190,1),"")</f>
        <v/>
      </c>
    </row>
    <row r="191">
      <c r="A191" t="inlineStr">
        <is>
          <t>I</t>
        </is>
      </c>
      <c r="B191" t="n">
        <v>8</v>
      </c>
      <c r="C191" t="inlineStr">
        <is>
          <t>換気ﾀﾞｸﾄ防水気密処理</t>
        </is>
      </c>
      <c r="D191" t="inlineStr">
        <is>
          <t>100φ</t>
        </is>
      </c>
      <c r="E191" t="n">
        <v>10</v>
      </c>
      <c r="F191" t="inlineStr">
        <is>
          <t>ヶ処</t>
        </is>
      </c>
      <c r="K191">
        <f>INDEX('設定'!$G$23:$G$34,B191)</f>
        <v/>
      </c>
      <c r="L191">
        <f>IF(K191&lt;&gt;1,0,IF(OR(A191="T",A191="S",A191="B"),1,IF(AND(OR(I191="",I191&lt;='設定'!$K$2),OR(J191="",ISNUMBER(SEARCH('設定'!$K$3,J191)))),1,0)))</f>
        <v/>
      </c>
      <c r="M191">
        <f>IF(A191&lt;&gt;"I","",IF(G191="",E191,IFERROR(IF(VLOOKUP(G191,'設定'!$A$9:$B$18,2,FALSE)="",E191,ROUND(VLOOKUP(G191,'設定'!$A$9:$B$18,2,FALSE)*H191,2)),E191)))</f>
        <v/>
      </c>
      <c r="N191">
        <f>IF(L191=1,COUNTIF(L$2:L191,1),"")</f>
        <v/>
      </c>
    </row>
    <row r="192">
      <c r="A192" t="inlineStr">
        <is>
          <t>I</t>
        </is>
      </c>
      <c r="B192" t="n">
        <v>8</v>
      </c>
      <c r="C192" t="inlineStr">
        <is>
          <t>換気ﾀﾞｸﾄ防水気密処理</t>
        </is>
      </c>
      <c r="D192" t="inlineStr">
        <is>
          <t>150φ</t>
        </is>
      </c>
      <c r="E192" t="n">
        <v>1</v>
      </c>
      <c r="F192" t="inlineStr">
        <is>
          <t>ヶ処</t>
        </is>
      </c>
      <c r="K192">
        <f>INDEX('設定'!$G$23:$G$34,B192)</f>
        <v/>
      </c>
      <c r="L192">
        <f>IF(K192&lt;&gt;1,0,IF(OR(A192="T",A192="S",A192="B"),1,IF(AND(OR(I192="",I192&lt;='設定'!$K$2),OR(J192="",ISNUMBER(SEARCH('設定'!$K$3,J192)))),1,0)))</f>
        <v/>
      </c>
      <c r="M192">
        <f>IF(A192&lt;&gt;"I","",IF(G192="",E192,IFERROR(IF(VLOOKUP(G192,'設定'!$A$9:$B$18,2,FALSE)="",E192,ROUND(VLOOKUP(G192,'設定'!$A$9:$B$18,2,FALSE)*H192,2)),E192)))</f>
        <v/>
      </c>
      <c r="N192">
        <f>IF(L192=1,COUNTIF(L$2:L192,1),"")</f>
        <v/>
      </c>
    </row>
    <row r="193">
      <c r="A193" t="inlineStr">
        <is>
          <t>G</t>
        </is>
      </c>
      <c r="B193" t="n">
        <v>8</v>
      </c>
      <c r="C193" t="inlineStr">
        <is>
          <t>【その他電気工事】</t>
        </is>
      </c>
      <c r="K193">
        <f>INDEX('設定'!$G$23:$G$34,B193)</f>
        <v/>
      </c>
      <c r="L193">
        <f>IF(K193&lt;&gt;1,0,IF(OR(A193="T",A193="S",A193="B"),1,IF(AND(OR(I193="",I193&lt;='設定'!$K$2),OR(J193="",ISNUMBER(SEARCH('設定'!$K$3,J193)))),1,0)))</f>
        <v/>
      </c>
      <c r="M193">
        <f>IF(A193&lt;&gt;"I","",IF(G193="",E193,IFERROR(IF(VLOOKUP(G193,'設定'!$A$9:$B$18,2,FALSE)="",E193,ROUND(VLOOKUP(G193,'設定'!$A$9:$B$18,2,FALSE)*H193,2)),E193)))</f>
        <v/>
      </c>
      <c r="N193">
        <f>IF(L193=1,COUNTIF(L$2:L193,1),"")</f>
        <v/>
      </c>
    </row>
    <row r="194">
      <c r="A194" t="inlineStr">
        <is>
          <t>I</t>
        </is>
      </c>
      <c r="B194" t="n">
        <v>8</v>
      </c>
      <c r="C194" t="inlineStr">
        <is>
          <t>内外部電気設備解体工事</t>
        </is>
      </c>
      <c r="E194" t="n">
        <v>1</v>
      </c>
      <c r="F194" t="inlineStr">
        <is>
          <t>式</t>
        </is>
      </c>
      <c r="K194">
        <f>INDEX('設定'!$G$23:$G$34,B194)</f>
        <v/>
      </c>
      <c r="L194">
        <f>IF(K194&lt;&gt;1,0,IF(OR(A194="T",A194="S",A194="B"),1,IF(AND(OR(I194="",I194&lt;='設定'!$K$2),OR(J194="",ISNUMBER(SEARCH('設定'!$K$3,J194)))),1,0)))</f>
        <v/>
      </c>
      <c r="M194">
        <f>IF(A194&lt;&gt;"I","",IF(G194="",E194,IFERROR(IF(VLOOKUP(G194,'設定'!$A$9:$B$18,2,FALSE)="",E194,ROUND(VLOOKUP(G194,'設定'!$A$9:$B$18,2,FALSE)*H194,2)),E194)))</f>
        <v/>
      </c>
      <c r="N194">
        <f>IF(L194=1,COUNTIF(L$2:L194,1),"")</f>
        <v/>
      </c>
    </row>
    <row r="195">
      <c r="A195" t="inlineStr">
        <is>
          <t>I</t>
        </is>
      </c>
      <c r="B195" t="n">
        <v>8</v>
      </c>
      <c r="C195" t="inlineStr">
        <is>
          <t>既設配線点検及び改修工事</t>
        </is>
      </c>
      <c r="E195" t="n">
        <v>1</v>
      </c>
      <c r="F195" t="inlineStr">
        <is>
          <t>式</t>
        </is>
      </c>
      <c r="K195">
        <f>INDEX('設定'!$G$23:$G$34,B195)</f>
        <v/>
      </c>
      <c r="L195">
        <f>IF(K195&lt;&gt;1,0,IF(OR(A195="T",A195="S",A195="B"),1,IF(AND(OR(I195="",I195&lt;='設定'!$K$2),OR(J195="",ISNUMBER(SEARCH('設定'!$K$3,J195)))),1,0)))</f>
        <v/>
      </c>
      <c r="M195">
        <f>IF(A195&lt;&gt;"I","",IF(G195="",E195,IFERROR(IF(VLOOKUP(G195,'設定'!$A$9:$B$18,2,FALSE)="",E195,ROUND(VLOOKUP(G195,'設定'!$A$9:$B$18,2,FALSE)*H195,2)),E195)))</f>
        <v/>
      </c>
      <c r="N195">
        <f>IF(L195=1,COUNTIF(L$2:L195,1),"")</f>
        <v/>
      </c>
    </row>
    <row r="196">
      <c r="A196" t="inlineStr">
        <is>
          <t>I</t>
        </is>
      </c>
      <c r="B196" t="n">
        <v>8</v>
      </c>
      <c r="C196" t="inlineStr">
        <is>
          <t>消耗品及び雑材</t>
        </is>
      </c>
      <c r="E196" t="n">
        <v>1</v>
      </c>
      <c r="F196" t="inlineStr">
        <is>
          <t>式</t>
        </is>
      </c>
      <c r="K196">
        <f>INDEX('設定'!$G$23:$G$34,B196)</f>
        <v/>
      </c>
      <c r="L196">
        <f>IF(K196&lt;&gt;1,0,IF(OR(A196="T",A196="S",A196="B"),1,IF(AND(OR(I196="",I196&lt;='設定'!$K$2),OR(J196="",ISNUMBER(SEARCH('設定'!$K$3,J196)))),1,0)))</f>
        <v/>
      </c>
      <c r="M196">
        <f>IF(A196&lt;&gt;"I","",IF(G196="",E196,IFERROR(IF(VLOOKUP(G196,'設定'!$A$9:$B$18,2,FALSE)="",E196,ROUND(VLOOKUP(G196,'設定'!$A$9:$B$18,2,FALSE)*H196,2)),E196)))</f>
        <v/>
      </c>
      <c r="N196">
        <f>IF(L196=1,COUNTIF(L$2:L196,1),"")</f>
        <v/>
      </c>
    </row>
    <row r="197">
      <c r="A197" t="inlineStr">
        <is>
          <t>I</t>
        </is>
      </c>
      <c r="B197" t="n">
        <v>8</v>
      </c>
      <c r="C197" t="inlineStr">
        <is>
          <t>電工費</t>
        </is>
      </c>
      <c r="E197" t="n">
        <v>1</v>
      </c>
      <c r="F197" t="inlineStr">
        <is>
          <t>式</t>
        </is>
      </c>
      <c r="K197">
        <f>INDEX('設定'!$G$23:$G$34,B197)</f>
        <v/>
      </c>
      <c r="L197">
        <f>IF(K197&lt;&gt;1,0,IF(OR(A197="T",A197="S",A197="B"),1,IF(AND(OR(I197="",I197&lt;='設定'!$K$2),OR(J197="",ISNUMBER(SEARCH('設定'!$K$3,J197)))),1,0)))</f>
        <v/>
      </c>
      <c r="M197">
        <f>IF(A197&lt;&gt;"I","",IF(G197="",E197,IFERROR(IF(VLOOKUP(G197,'設定'!$A$9:$B$18,2,FALSE)="",E197,ROUND(VLOOKUP(G197,'設定'!$A$9:$B$18,2,FALSE)*H197,2)),E197)))</f>
        <v/>
      </c>
      <c r="N197">
        <f>IF(L197=1,COUNTIF(L$2:L197,1),"")</f>
        <v/>
      </c>
    </row>
    <row r="198">
      <c r="A198" t="inlineStr">
        <is>
          <t>I</t>
        </is>
      </c>
      <c r="B198" t="n">
        <v>8</v>
      </c>
      <c r="C198" t="inlineStr">
        <is>
          <t>エアコン取付費</t>
        </is>
      </c>
      <c r="E198" t="n">
        <v>3</v>
      </c>
      <c r="F198" t="inlineStr">
        <is>
          <t>台</t>
        </is>
      </c>
      <c r="K198">
        <f>INDEX('設定'!$G$23:$G$34,B198)</f>
        <v/>
      </c>
      <c r="L198">
        <f>IF(K198&lt;&gt;1,0,IF(OR(A198="T",A198="S",A198="B"),1,IF(AND(OR(I198="",I198&lt;='設定'!$K$2),OR(J198="",ISNUMBER(SEARCH('設定'!$K$3,J198)))),1,0)))</f>
        <v/>
      </c>
      <c r="M198">
        <f>IF(A198&lt;&gt;"I","",IF(G198="",E198,IFERROR(IF(VLOOKUP(G198,'設定'!$A$9:$B$18,2,FALSE)="",E198,ROUND(VLOOKUP(G198,'設定'!$A$9:$B$18,2,FALSE)*H198,2)),E198)))</f>
        <v/>
      </c>
      <c r="N198">
        <f>IF(L198=1,COUNTIF(L$2:L198,1),"")</f>
        <v/>
      </c>
    </row>
    <row r="199">
      <c r="A199" t="inlineStr">
        <is>
          <t>S</t>
        </is>
      </c>
      <c r="B199" t="n">
        <v>8</v>
      </c>
      <c r="C199" t="inlineStr">
        <is>
          <t>小　計</t>
        </is>
      </c>
      <c r="K199">
        <f>INDEX('設定'!$G$23:$G$34,B199)</f>
        <v/>
      </c>
      <c r="L199">
        <f>IF(K199&lt;&gt;1,0,IF(OR(A199="T",A199="S",A199="B"),1,IF(AND(OR(I199="",I199&lt;='設定'!$K$2),OR(J199="",ISNUMBER(SEARCH('設定'!$K$3,J199)))),1,0)))</f>
        <v/>
      </c>
      <c r="M199">
        <f>IF(A199&lt;&gt;"I","",IF(G199="",E199,IFERROR(IF(VLOOKUP(G199,'設定'!$A$9:$B$18,2,FALSE)="",E199,ROUND(VLOOKUP(G199,'設定'!$A$9:$B$18,2,FALSE)*H199,2)),E199)))</f>
        <v/>
      </c>
      <c r="N199">
        <f>IF(L199=1,COUNTIF(L$2:L199,1),"")</f>
        <v/>
      </c>
    </row>
    <row r="200">
      <c r="A200" t="inlineStr">
        <is>
          <t>B</t>
        </is>
      </c>
      <c r="B200" t="n">
        <v>8</v>
      </c>
      <c r="K200">
        <f>INDEX('設定'!$G$23:$G$34,B200)</f>
        <v/>
      </c>
      <c r="L200">
        <f>IF(K200&lt;&gt;1,0,IF(OR(A200="T",A200="S",A200="B"),1,IF(AND(OR(I200="",I200&lt;='設定'!$K$2),OR(J200="",ISNUMBER(SEARCH('設定'!$K$3,J200)))),1,0)))</f>
        <v/>
      </c>
      <c r="M200">
        <f>IF(A200&lt;&gt;"I","",IF(G200="",E200,IFERROR(IF(VLOOKUP(G200,'設定'!$A$9:$B$18,2,FALSE)="",E200,ROUND(VLOOKUP(G200,'設定'!$A$9:$B$18,2,FALSE)*H200,2)),E200)))</f>
        <v/>
      </c>
      <c r="N200">
        <f>IF(L200=1,COUNTIF(L$2:L200,1),"")</f>
        <v/>
      </c>
    </row>
    <row r="201">
      <c r="A201" t="inlineStr">
        <is>
          <t>T</t>
        </is>
      </c>
      <c r="B201" t="n">
        <v>9</v>
      </c>
      <c r="C201" t="inlineStr">
        <is>
          <t>給排水設備工事</t>
        </is>
      </c>
      <c r="K201">
        <f>INDEX('設定'!$G$23:$G$34,B201)</f>
        <v/>
      </c>
      <c r="L201">
        <f>IF(K201&lt;&gt;1,0,IF(OR(A201="T",A201="S",A201="B"),1,IF(AND(OR(I201="",I201&lt;='設定'!$K$2),OR(J201="",ISNUMBER(SEARCH('設定'!$K$3,J201)))),1,0)))</f>
        <v/>
      </c>
      <c r="M201">
        <f>IF(A201&lt;&gt;"I","",IF(G201="",E201,IFERROR(IF(VLOOKUP(G201,'設定'!$A$9:$B$18,2,FALSE)="",E201,ROUND(VLOOKUP(G201,'設定'!$A$9:$B$18,2,FALSE)*H201,2)),E201)))</f>
        <v/>
      </c>
      <c r="N201">
        <f>IF(L201=1,COUNTIF(L$2:L201,1),"")</f>
        <v/>
      </c>
    </row>
    <row r="202">
      <c r="A202" t="inlineStr">
        <is>
          <t>I</t>
        </is>
      </c>
      <c r="B202" t="n">
        <v>9</v>
      </c>
      <c r="C202" t="inlineStr">
        <is>
          <t>既存器具撤去・外部ﾌﾟﾗｸﾞ止め・排水ｷｬｯﾌﾟ</t>
        </is>
      </c>
      <c r="E202" t="n">
        <v>1</v>
      </c>
      <c r="F202" t="inlineStr">
        <is>
          <t>式</t>
        </is>
      </c>
      <c r="K202">
        <f>INDEX('設定'!$G$23:$G$34,B202)</f>
        <v/>
      </c>
      <c r="L202">
        <f>IF(K202&lt;&gt;1,0,IF(OR(A202="T",A202="S",A202="B"),1,IF(AND(OR(I202="",I202&lt;='設定'!$K$2),OR(J202="",ISNUMBER(SEARCH('設定'!$K$3,J202)))),1,0)))</f>
        <v/>
      </c>
      <c r="M202">
        <f>IF(A202&lt;&gt;"I","",IF(G202="",E202,IFERROR(IF(VLOOKUP(G202,'設定'!$A$9:$B$18,2,FALSE)="",E202,ROUND(VLOOKUP(G202,'設定'!$A$9:$B$18,2,FALSE)*H202,2)),E202)))</f>
        <v/>
      </c>
      <c r="N202">
        <f>IF(L202=1,COUNTIF(L$2:L202,1),"")</f>
        <v/>
      </c>
    </row>
    <row r="203">
      <c r="A203" t="inlineStr">
        <is>
          <t>I</t>
        </is>
      </c>
      <c r="B203" t="n">
        <v>9</v>
      </c>
      <c r="C203" t="inlineStr">
        <is>
          <t>給水設備</t>
        </is>
      </c>
      <c r="E203" t="n">
        <v>7</v>
      </c>
      <c r="F203" t="inlineStr">
        <is>
          <t>ヶ</t>
        </is>
      </c>
      <c r="K203">
        <f>INDEX('設定'!$G$23:$G$34,B203)</f>
        <v/>
      </c>
      <c r="L203">
        <f>IF(K203&lt;&gt;1,0,IF(OR(A203="T",A203="S",A203="B"),1,IF(AND(OR(I203="",I203&lt;='設定'!$K$2),OR(J203="",ISNUMBER(SEARCH('設定'!$K$3,J203)))),1,0)))</f>
        <v/>
      </c>
      <c r="M203">
        <f>IF(A203&lt;&gt;"I","",IF(G203="",E203,IFERROR(IF(VLOOKUP(G203,'設定'!$A$9:$B$18,2,FALSE)="",E203,ROUND(VLOOKUP(G203,'設定'!$A$9:$B$18,2,FALSE)*H203,2)),E203)))</f>
        <v/>
      </c>
      <c r="N203">
        <f>IF(L203=1,COUNTIF(L$2:L203,1),"")</f>
        <v/>
      </c>
    </row>
    <row r="204">
      <c r="A204" t="inlineStr">
        <is>
          <t>I</t>
        </is>
      </c>
      <c r="B204" t="n">
        <v>9</v>
      </c>
      <c r="C204" t="inlineStr">
        <is>
          <t>給湯設備</t>
        </is>
      </c>
      <c r="E204" t="n">
        <v>5</v>
      </c>
      <c r="F204" t="inlineStr">
        <is>
          <t>ヶ</t>
        </is>
      </c>
      <c r="K204">
        <f>INDEX('設定'!$G$23:$G$34,B204)</f>
        <v/>
      </c>
      <c r="L204">
        <f>IF(K204&lt;&gt;1,0,IF(OR(A204="T",A204="S",A204="B"),1,IF(AND(OR(I204="",I204&lt;='設定'!$K$2),OR(J204="",ISNUMBER(SEARCH('設定'!$K$3,J204)))),1,0)))</f>
        <v/>
      </c>
      <c r="M204">
        <f>IF(A204&lt;&gt;"I","",IF(G204="",E204,IFERROR(IF(VLOOKUP(G204,'設定'!$A$9:$B$18,2,FALSE)="",E204,ROUND(VLOOKUP(G204,'設定'!$A$9:$B$18,2,FALSE)*H204,2)),E204)))</f>
        <v/>
      </c>
      <c r="N204">
        <f>IF(L204=1,COUNTIF(L$2:L204,1),"")</f>
        <v/>
      </c>
    </row>
    <row r="205">
      <c r="A205" t="inlineStr">
        <is>
          <t>I</t>
        </is>
      </c>
      <c r="B205" t="n">
        <v>9</v>
      </c>
      <c r="C205" t="inlineStr">
        <is>
          <t>排水設備</t>
        </is>
      </c>
      <c r="E205" t="n">
        <v>7</v>
      </c>
      <c r="F205" t="inlineStr">
        <is>
          <t>ヶ</t>
        </is>
      </c>
      <c r="K205">
        <f>INDEX('設定'!$G$23:$G$34,B205)</f>
        <v/>
      </c>
      <c r="L205">
        <f>IF(K205&lt;&gt;1,0,IF(OR(A205="T",A205="S",A205="B"),1,IF(AND(OR(I205="",I205&lt;='設定'!$K$2),OR(J205="",ISNUMBER(SEARCH('設定'!$K$3,J205)))),1,0)))</f>
        <v/>
      </c>
      <c r="M205">
        <f>IF(A205&lt;&gt;"I","",IF(G205="",E205,IFERROR(IF(VLOOKUP(G205,'設定'!$A$9:$B$18,2,FALSE)="",E205,ROUND(VLOOKUP(G205,'設定'!$A$9:$B$18,2,FALSE)*H205,2)),E205)))</f>
        <v/>
      </c>
      <c r="N205">
        <f>IF(L205=1,COUNTIF(L$2:L205,1),"")</f>
        <v/>
      </c>
    </row>
    <row r="206">
      <c r="A206" t="inlineStr">
        <is>
          <t>I</t>
        </is>
      </c>
      <c r="B206" t="n">
        <v>9</v>
      </c>
      <c r="C206" t="inlineStr">
        <is>
          <t>器具取付</t>
        </is>
      </c>
      <c r="D206" t="inlineStr">
        <is>
          <t>(接続部材込み）</t>
        </is>
      </c>
      <c r="E206" t="n">
        <v>1</v>
      </c>
      <c r="F206" t="inlineStr">
        <is>
          <t>式</t>
        </is>
      </c>
      <c r="K206">
        <f>INDEX('設定'!$G$23:$G$34,B206)</f>
        <v/>
      </c>
      <c r="L206">
        <f>IF(K206&lt;&gt;1,0,IF(OR(A206="T",A206="S",A206="B"),1,IF(AND(OR(I206="",I206&lt;='設定'!$K$2),OR(J206="",ISNUMBER(SEARCH('設定'!$K$3,J206)))),1,0)))</f>
        <v/>
      </c>
      <c r="M206">
        <f>IF(A206&lt;&gt;"I","",IF(G206="",E206,IFERROR(IF(VLOOKUP(G206,'設定'!$A$9:$B$18,2,FALSE)="",E206,ROUND(VLOOKUP(G206,'設定'!$A$9:$B$18,2,FALSE)*H206,2)),E206)))</f>
        <v/>
      </c>
      <c r="N206">
        <f>IF(L206=1,COUNTIF(L$2:L206,1),"")</f>
        <v/>
      </c>
    </row>
    <row r="207">
      <c r="A207" t="inlineStr">
        <is>
          <t>I</t>
        </is>
      </c>
      <c r="B207" t="n">
        <v>9</v>
      </c>
      <c r="C207" t="inlineStr">
        <is>
          <t>洗濯水栓</t>
        </is>
      </c>
      <c r="E207" t="n">
        <v>1</v>
      </c>
      <c r="F207" t="inlineStr">
        <is>
          <t>ヶ</t>
        </is>
      </c>
      <c r="K207">
        <f>INDEX('設定'!$G$23:$G$34,B207)</f>
        <v/>
      </c>
      <c r="L207">
        <f>IF(K207&lt;&gt;1,0,IF(OR(A207="T",A207="S",A207="B"),1,IF(AND(OR(I207="",I207&lt;='設定'!$K$2),OR(J207="",ISNUMBER(SEARCH('設定'!$K$3,J207)))),1,0)))</f>
        <v/>
      </c>
      <c r="M207">
        <f>IF(A207&lt;&gt;"I","",IF(G207="",E207,IFERROR(IF(VLOOKUP(G207,'設定'!$A$9:$B$18,2,FALSE)="",E207,ROUND(VLOOKUP(G207,'設定'!$A$9:$B$18,2,FALSE)*H207,2)),E207)))</f>
        <v/>
      </c>
      <c r="N207">
        <f>IF(L207=1,COUNTIF(L$2:L207,1),"")</f>
        <v/>
      </c>
    </row>
    <row r="208">
      <c r="A208" t="inlineStr">
        <is>
          <t>I</t>
        </is>
      </c>
      <c r="B208" t="n">
        <v>9</v>
      </c>
      <c r="C208" t="inlineStr">
        <is>
          <t>洗濯排水金具</t>
        </is>
      </c>
      <c r="E208" t="n">
        <v>1</v>
      </c>
      <c r="F208" t="inlineStr">
        <is>
          <t>ヶ</t>
        </is>
      </c>
      <c r="K208">
        <f>INDEX('設定'!$G$23:$G$34,B208)</f>
        <v/>
      </c>
      <c r="L208">
        <f>IF(K208&lt;&gt;1,0,IF(OR(A208="T",A208="S",A208="B"),1,IF(AND(OR(I208="",I208&lt;='設定'!$K$2),OR(J208="",ISNUMBER(SEARCH('設定'!$K$3,J208)))),1,0)))</f>
        <v/>
      </c>
      <c r="M208">
        <f>IF(A208&lt;&gt;"I","",IF(G208="",E208,IFERROR(IF(VLOOKUP(G208,'設定'!$A$9:$B$18,2,FALSE)="",E208,ROUND(VLOOKUP(G208,'設定'!$A$9:$B$18,2,FALSE)*H208,2)),E208)))</f>
        <v/>
      </c>
      <c r="N208">
        <f>IF(L208=1,COUNTIF(L$2:L208,1),"")</f>
        <v/>
      </c>
    </row>
    <row r="209">
      <c r="A209" t="inlineStr">
        <is>
          <t>I</t>
        </is>
      </c>
      <c r="B209" t="n">
        <v>9</v>
      </c>
      <c r="C209" t="inlineStr">
        <is>
          <t>給湯機設置・接続</t>
        </is>
      </c>
      <c r="E209" t="n">
        <v>1</v>
      </c>
      <c r="F209" t="inlineStr">
        <is>
          <t>式</t>
        </is>
      </c>
      <c r="K209">
        <f>INDEX('設定'!$G$23:$G$34,B209)</f>
        <v/>
      </c>
      <c r="L209">
        <f>IF(K209&lt;&gt;1,0,IF(OR(A209="T",A209="S",A209="B"),1,IF(AND(OR(I209="",I209&lt;='設定'!$K$2),OR(J209="",ISNUMBER(SEARCH('設定'!$K$3,J209)))),1,0)))</f>
        <v/>
      </c>
      <c r="M209">
        <f>IF(A209&lt;&gt;"I","",IF(G209="",E209,IFERROR(IF(VLOOKUP(G209,'設定'!$A$9:$B$18,2,FALSE)="",E209,ROUND(VLOOKUP(G209,'設定'!$A$9:$B$18,2,FALSE)*H209,2)),E209)))</f>
        <v/>
      </c>
      <c r="N209">
        <f>IF(L209=1,COUNTIF(L$2:L209,1),"")</f>
        <v/>
      </c>
    </row>
    <row r="210">
      <c r="A210" t="inlineStr">
        <is>
          <t>I</t>
        </is>
      </c>
      <c r="B210" t="n">
        <v>9</v>
      </c>
      <c r="C210" t="inlineStr">
        <is>
          <t>追い炊き配管</t>
        </is>
      </c>
      <c r="E210" t="n">
        <v>1</v>
      </c>
      <c r="F210" t="inlineStr">
        <is>
          <t>式</t>
        </is>
      </c>
      <c r="K210">
        <f>INDEX('設定'!$G$23:$G$34,B210)</f>
        <v/>
      </c>
      <c r="L210">
        <f>IF(K210&lt;&gt;1,0,IF(OR(A210="T",A210="S",A210="B"),1,IF(AND(OR(I210="",I210&lt;='設定'!$K$2),OR(J210="",ISNUMBER(SEARCH('設定'!$K$3,J210)))),1,0)))</f>
        <v/>
      </c>
      <c r="M210">
        <f>IF(A210&lt;&gt;"I","",IF(G210="",E210,IFERROR(IF(VLOOKUP(G210,'設定'!$A$9:$B$18,2,FALSE)="",E210,ROUND(VLOOKUP(G210,'設定'!$A$9:$B$18,2,FALSE)*H210,2)),E210)))</f>
        <v/>
      </c>
      <c r="N210">
        <f>IF(L210=1,COUNTIF(L$2:L210,1),"")</f>
        <v/>
      </c>
    </row>
    <row r="211">
      <c r="A211" t="inlineStr">
        <is>
          <t>I</t>
        </is>
      </c>
      <c r="B211" t="n">
        <v>9</v>
      </c>
      <c r="C211" t="inlineStr">
        <is>
          <t>ｶｯﾀｰ・斫り・掘削工</t>
        </is>
      </c>
      <c r="E211" t="n">
        <v>1</v>
      </c>
      <c r="F211" t="inlineStr">
        <is>
          <t>式</t>
        </is>
      </c>
      <c r="K211">
        <f>INDEX('設定'!$G$23:$G$34,B211)</f>
        <v/>
      </c>
      <c r="L211">
        <f>IF(K211&lt;&gt;1,0,IF(OR(A211="T",A211="S",A211="B"),1,IF(AND(OR(I211="",I211&lt;='設定'!$K$2),OR(J211="",ISNUMBER(SEARCH('設定'!$K$3,J211)))),1,0)))</f>
        <v/>
      </c>
      <c r="M211">
        <f>IF(A211&lt;&gt;"I","",IF(G211="",E211,IFERROR(IF(VLOOKUP(G211,'設定'!$A$9:$B$18,2,FALSE)="",E211,ROUND(VLOOKUP(G211,'設定'!$A$9:$B$18,2,FALSE)*H211,2)),E211)))</f>
        <v/>
      </c>
      <c r="N211">
        <f>IF(L211=1,COUNTIF(L$2:L211,1),"")</f>
        <v/>
      </c>
    </row>
    <row r="212">
      <c r="A212" t="inlineStr">
        <is>
          <t>I</t>
        </is>
      </c>
      <c r="B212" t="n">
        <v>9</v>
      </c>
      <c r="C212" t="inlineStr">
        <is>
          <t>配管工</t>
        </is>
      </c>
      <c r="E212" t="n">
        <v>1</v>
      </c>
      <c r="F212" t="inlineStr">
        <is>
          <t>式</t>
        </is>
      </c>
      <c r="K212">
        <f>INDEX('設定'!$G$23:$G$34,B212)</f>
        <v/>
      </c>
      <c r="L212">
        <f>IF(K212&lt;&gt;1,0,IF(OR(A212="T",A212="S",A212="B"),1,IF(AND(OR(I212="",I212&lt;='設定'!$K$2),OR(J212="",ISNUMBER(SEARCH('設定'!$K$3,J212)))),1,0)))</f>
        <v/>
      </c>
      <c r="M212">
        <f>IF(A212&lt;&gt;"I","",IF(G212="",E212,IFERROR(IF(VLOOKUP(G212,'設定'!$A$9:$B$18,2,FALSE)="",E212,ROUND(VLOOKUP(G212,'設定'!$A$9:$B$18,2,FALSE)*H212,2)),E212)))</f>
        <v/>
      </c>
      <c r="N212">
        <f>IF(L212=1,COUNTIF(L$2:L212,1),"")</f>
        <v/>
      </c>
    </row>
    <row r="213">
      <c r="A213" t="inlineStr">
        <is>
          <t>I</t>
        </is>
      </c>
      <c r="B213" t="n">
        <v>9</v>
      </c>
      <c r="C213" t="inlineStr">
        <is>
          <t>小口径桝</t>
        </is>
      </c>
      <c r="E213" t="n">
        <v>1</v>
      </c>
      <c r="F213" t="inlineStr">
        <is>
          <t>ヶ</t>
        </is>
      </c>
      <c r="K213">
        <f>INDEX('設定'!$G$23:$G$34,B213)</f>
        <v/>
      </c>
      <c r="L213">
        <f>IF(K213&lt;&gt;1,0,IF(OR(A213="T",A213="S",A213="B"),1,IF(AND(OR(I213="",I213&lt;='設定'!$K$2),OR(J213="",ISNUMBER(SEARCH('設定'!$K$3,J213)))),1,0)))</f>
        <v/>
      </c>
      <c r="M213">
        <f>IF(A213&lt;&gt;"I","",IF(G213="",E213,IFERROR(IF(VLOOKUP(G213,'設定'!$A$9:$B$18,2,FALSE)="",E213,ROUND(VLOOKUP(G213,'設定'!$A$9:$B$18,2,FALSE)*H213,2)),E213)))</f>
        <v/>
      </c>
      <c r="N213">
        <f>IF(L213=1,COUNTIF(L$2:L213,1),"")</f>
        <v/>
      </c>
    </row>
    <row r="214">
      <c r="A214" t="inlineStr">
        <is>
          <t>S</t>
        </is>
      </c>
      <c r="B214" t="n">
        <v>9</v>
      </c>
      <c r="C214" t="inlineStr">
        <is>
          <t>小　計</t>
        </is>
      </c>
      <c r="K214">
        <f>INDEX('設定'!$G$23:$G$34,B214)</f>
        <v/>
      </c>
      <c r="L214">
        <f>IF(K214&lt;&gt;1,0,IF(OR(A214="T",A214="S",A214="B"),1,IF(AND(OR(I214="",I214&lt;='設定'!$K$2),OR(J214="",ISNUMBER(SEARCH('設定'!$K$3,J214)))),1,0)))</f>
        <v/>
      </c>
      <c r="M214">
        <f>IF(A214&lt;&gt;"I","",IF(G214="",E214,IFERROR(IF(VLOOKUP(G214,'設定'!$A$9:$B$18,2,FALSE)="",E214,ROUND(VLOOKUP(G214,'設定'!$A$9:$B$18,2,FALSE)*H214,2)),E214)))</f>
        <v/>
      </c>
      <c r="N214">
        <f>IF(L214=1,COUNTIF(L$2:L214,1),"")</f>
        <v/>
      </c>
    </row>
    <row r="215">
      <c r="A215" t="inlineStr">
        <is>
          <t>B</t>
        </is>
      </c>
      <c r="B215" t="n">
        <v>9</v>
      </c>
      <c r="K215">
        <f>INDEX('設定'!$G$23:$G$34,B215)</f>
        <v/>
      </c>
      <c r="L215">
        <f>IF(K215&lt;&gt;1,0,IF(OR(A215="T",A215="S",A215="B"),1,IF(AND(OR(I215="",I215&lt;='設定'!$K$2),OR(J215="",ISNUMBER(SEARCH('設定'!$K$3,J215)))),1,0)))</f>
        <v/>
      </c>
      <c r="M215">
        <f>IF(A215&lt;&gt;"I","",IF(G215="",E215,IFERROR(IF(VLOOKUP(G215,'設定'!$A$9:$B$18,2,FALSE)="",E215,ROUND(VLOOKUP(G215,'設定'!$A$9:$B$18,2,FALSE)*H215,2)),E215)))</f>
        <v/>
      </c>
      <c r="N215">
        <f>IF(L215=1,COUNTIF(L$2:L215,1),"")</f>
        <v/>
      </c>
    </row>
    <row r="216">
      <c r="A216" t="inlineStr">
        <is>
          <t>T</t>
        </is>
      </c>
      <c r="B216" t="n">
        <v>10</v>
      </c>
      <c r="C216" t="inlineStr">
        <is>
          <t>住宅設備工事</t>
        </is>
      </c>
      <c r="K216">
        <f>INDEX('設定'!$G$23:$G$34,B216)</f>
        <v/>
      </c>
      <c r="L216">
        <f>IF(K216&lt;&gt;1,0,IF(OR(A216="T",A216="S",A216="B"),1,IF(AND(OR(I216="",I216&lt;='設定'!$K$2),OR(J216="",ISNUMBER(SEARCH('設定'!$K$3,J216)))),1,0)))</f>
        <v/>
      </c>
      <c r="M216">
        <f>IF(A216&lt;&gt;"I","",IF(G216="",E216,IFERROR(IF(VLOOKUP(G216,'設定'!$A$9:$B$18,2,FALSE)="",E216,ROUND(VLOOKUP(G216,'設定'!$A$9:$B$18,2,FALSE)*H216,2)),E216)))</f>
        <v/>
      </c>
      <c r="N216">
        <f>IF(L216=1,COUNTIF(L$2:L216,1),"")</f>
        <v/>
      </c>
    </row>
    <row r="217">
      <c r="A217" t="inlineStr">
        <is>
          <t>I</t>
        </is>
      </c>
      <c r="B217" t="n">
        <v>10</v>
      </c>
      <c r="C217" t="inlineStr">
        <is>
          <t>ｼｽﾃﾑｷｯﾁﾝ</t>
        </is>
      </c>
      <c r="D217" t="inlineStr">
        <is>
          <t>ｸﾘﾅｯﾌﾟ STEDIA</t>
        </is>
      </c>
      <c r="E217" t="n">
        <v>1</v>
      </c>
      <c r="F217" t="inlineStr">
        <is>
          <t>式</t>
        </is>
      </c>
      <c r="K217">
        <f>INDEX('設定'!$G$23:$G$34,B217)</f>
        <v/>
      </c>
      <c r="L217">
        <f>IF(K217&lt;&gt;1,0,IF(OR(A217="T",A217="S",A217="B"),1,IF(AND(OR(I217="",I217&lt;='設定'!$K$2),OR(J217="",ISNUMBER(SEARCH('設定'!$K$3,J217)))),1,0)))</f>
        <v/>
      </c>
      <c r="M217">
        <f>IF(A217&lt;&gt;"I","",IF(G217="",E217,IFERROR(IF(VLOOKUP(G217,'設定'!$A$9:$B$18,2,FALSE)="",E217,ROUND(VLOOKUP(G217,'設定'!$A$9:$B$18,2,FALSE)*H217,2)),E217)))</f>
        <v/>
      </c>
      <c r="N217">
        <f>IF(L217=1,COUNTIF(L$2:L217,1),"")</f>
        <v/>
      </c>
    </row>
    <row r="218">
      <c r="A218" t="inlineStr">
        <is>
          <t>I</t>
        </is>
      </c>
      <c r="B218" t="n">
        <v>10</v>
      </c>
      <c r="C218" t="inlineStr">
        <is>
          <t>仝上取付設置費</t>
        </is>
      </c>
      <c r="E218" t="n">
        <v>1</v>
      </c>
      <c r="F218" t="inlineStr">
        <is>
          <t>式</t>
        </is>
      </c>
      <c r="K218">
        <f>INDEX('設定'!$G$23:$G$34,B218)</f>
        <v/>
      </c>
      <c r="L218">
        <f>IF(K218&lt;&gt;1,0,IF(OR(A218="T",A218="S",A218="B"),1,IF(AND(OR(I218="",I218&lt;='設定'!$K$2),OR(J218="",ISNUMBER(SEARCH('設定'!$K$3,J218)))),1,0)))</f>
        <v/>
      </c>
      <c r="M218">
        <f>IF(A218&lt;&gt;"I","",IF(G218="",E218,IFERROR(IF(VLOOKUP(G218,'設定'!$A$9:$B$18,2,FALSE)="",E218,ROUND(VLOOKUP(G218,'設定'!$A$9:$B$18,2,FALSE)*H218,2)),E218)))</f>
        <v/>
      </c>
      <c r="N218">
        <f>IF(L218=1,COUNTIF(L$2:L218,1),"")</f>
        <v/>
      </c>
    </row>
    <row r="219">
      <c r="A219" t="inlineStr">
        <is>
          <t>I</t>
        </is>
      </c>
      <c r="B219" t="n">
        <v>10</v>
      </c>
      <c r="C219" t="inlineStr">
        <is>
          <t>ｶｯﾌﾟﾎﾞｰﾄﾞ</t>
        </is>
      </c>
      <c r="D219" t="inlineStr">
        <is>
          <t>ｸﾘﾅｯﾌﾟ STEDIA</t>
        </is>
      </c>
      <c r="E219" t="n">
        <v>1</v>
      </c>
      <c r="F219" t="inlineStr">
        <is>
          <t>式</t>
        </is>
      </c>
      <c r="K219">
        <f>INDEX('設定'!$G$23:$G$34,B219)</f>
        <v/>
      </c>
      <c r="L219">
        <f>IF(K219&lt;&gt;1,0,IF(OR(A219="T",A219="S",A219="B"),1,IF(AND(OR(I219="",I219&lt;='設定'!$K$2),OR(J219="",ISNUMBER(SEARCH('設定'!$K$3,J219)))),1,0)))</f>
        <v/>
      </c>
      <c r="M219">
        <f>IF(A219&lt;&gt;"I","",IF(G219="",E219,IFERROR(IF(VLOOKUP(G219,'設定'!$A$9:$B$18,2,FALSE)="",E219,ROUND(VLOOKUP(G219,'設定'!$A$9:$B$18,2,FALSE)*H219,2)),E219)))</f>
        <v/>
      </c>
      <c r="N219">
        <f>IF(L219=1,COUNTIF(L$2:L219,1),"")</f>
        <v/>
      </c>
    </row>
    <row r="220">
      <c r="A220" t="inlineStr">
        <is>
          <t>I</t>
        </is>
      </c>
      <c r="B220" t="n">
        <v>10</v>
      </c>
      <c r="C220" t="inlineStr">
        <is>
          <t>仝上取付設置費</t>
        </is>
      </c>
      <c r="E220" t="n">
        <v>1</v>
      </c>
      <c r="F220" t="inlineStr">
        <is>
          <t>式</t>
        </is>
      </c>
      <c r="K220">
        <f>INDEX('設定'!$G$23:$G$34,B220)</f>
        <v/>
      </c>
      <c r="L220">
        <f>IF(K220&lt;&gt;1,0,IF(OR(A220="T",A220="S",A220="B"),1,IF(AND(OR(I220="",I220&lt;='設定'!$K$2),OR(J220="",ISNUMBER(SEARCH('設定'!$K$3,J220)))),1,0)))</f>
        <v/>
      </c>
      <c r="M220">
        <f>IF(A220&lt;&gt;"I","",IF(G220="",E220,IFERROR(IF(VLOOKUP(G220,'設定'!$A$9:$B$18,2,FALSE)="",E220,ROUND(VLOOKUP(G220,'設定'!$A$9:$B$18,2,FALSE)*H220,2)),E220)))</f>
        <v/>
      </c>
      <c r="N220">
        <f>IF(L220=1,COUNTIF(L$2:L220,1),"")</f>
        <v/>
      </c>
    </row>
    <row r="221">
      <c r="A221" t="inlineStr">
        <is>
          <t>I</t>
        </is>
      </c>
      <c r="B221" t="n">
        <v>10</v>
      </c>
      <c r="C221" t="inlineStr">
        <is>
          <t>ｼｽﾃﾑﾊﾞｽ</t>
        </is>
      </c>
      <c r="D221" t="inlineStr">
        <is>
          <t>ｸﾘﾅｯﾌﾟ ｾﾚｳﾞｨｱ</t>
        </is>
      </c>
      <c r="E221" t="n">
        <v>1</v>
      </c>
      <c r="F221" t="inlineStr">
        <is>
          <t>式</t>
        </is>
      </c>
      <c r="K221">
        <f>INDEX('設定'!$G$23:$G$34,B221)</f>
        <v/>
      </c>
      <c r="L221">
        <f>IF(K221&lt;&gt;1,0,IF(OR(A221="T",A221="S",A221="B"),1,IF(AND(OR(I221="",I221&lt;='設定'!$K$2),OR(J221="",ISNUMBER(SEARCH('設定'!$K$3,J221)))),1,0)))</f>
        <v/>
      </c>
      <c r="M221">
        <f>IF(A221&lt;&gt;"I","",IF(G221="",E221,IFERROR(IF(VLOOKUP(G221,'設定'!$A$9:$B$18,2,FALSE)="",E221,ROUND(VLOOKUP(G221,'設定'!$A$9:$B$18,2,FALSE)*H221,2)),E221)))</f>
        <v/>
      </c>
      <c r="N221">
        <f>IF(L221=1,COUNTIF(L$2:L221,1),"")</f>
        <v/>
      </c>
    </row>
    <row r="222">
      <c r="A222" t="inlineStr">
        <is>
          <t>I</t>
        </is>
      </c>
      <c r="B222" t="n">
        <v>10</v>
      </c>
      <c r="C222" t="inlineStr">
        <is>
          <t>仝上取付設置費</t>
        </is>
      </c>
      <c r="E222" t="n">
        <v>1</v>
      </c>
      <c r="F222" t="inlineStr">
        <is>
          <t>式</t>
        </is>
      </c>
      <c r="K222">
        <f>INDEX('設定'!$G$23:$G$34,B222)</f>
        <v/>
      </c>
      <c r="L222">
        <f>IF(K222&lt;&gt;1,0,IF(OR(A222="T",A222="S",A222="B"),1,IF(AND(OR(I222="",I222&lt;='設定'!$K$2),OR(J222="",ISNUMBER(SEARCH('設定'!$K$3,J222)))),1,0)))</f>
        <v/>
      </c>
      <c r="M222">
        <f>IF(A222&lt;&gt;"I","",IF(G222="",E222,IFERROR(IF(VLOOKUP(G222,'設定'!$A$9:$B$18,2,FALSE)="",E222,ROUND(VLOOKUP(G222,'設定'!$A$9:$B$18,2,FALSE)*H222,2)),E222)))</f>
        <v/>
      </c>
      <c r="N222">
        <f>IF(L222=1,COUNTIF(L$2:L222,1),"")</f>
        <v/>
      </c>
    </row>
    <row r="223">
      <c r="A223" t="inlineStr">
        <is>
          <t>I</t>
        </is>
      </c>
      <c r="B223" t="n">
        <v>10</v>
      </c>
      <c r="C223" t="inlineStr">
        <is>
          <t>洗面化粧台</t>
        </is>
      </c>
      <c r="E223" t="n">
        <v>1</v>
      </c>
      <c r="F223" t="inlineStr">
        <is>
          <t>式</t>
        </is>
      </c>
      <c r="K223">
        <f>INDEX('設定'!$G$23:$G$34,B223)</f>
        <v/>
      </c>
      <c r="L223">
        <f>IF(K223&lt;&gt;1,0,IF(OR(A223="T",A223="S",A223="B"),1,IF(AND(OR(I223="",I223&lt;='設定'!$K$2),OR(J223="",ISNUMBER(SEARCH('設定'!$K$3,J223)))),1,0)))</f>
        <v/>
      </c>
      <c r="M223">
        <f>IF(A223&lt;&gt;"I","",IF(G223="",E223,IFERROR(IF(VLOOKUP(G223,'設定'!$A$9:$B$18,2,FALSE)="",E223,ROUND(VLOOKUP(G223,'設定'!$A$9:$B$18,2,FALSE)*H223,2)),E223)))</f>
        <v/>
      </c>
      <c r="N223">
        <f>IF(L223=1,COUNTIF(L$2:L223,1),"")</f>
        <v/>
      </c>
    </row>
    <row r="224">
      <c r="A224" t="inlineStr">
        <is>
          <t>I</t>
        </is>
      </c>
      <c r="B224" t="n">
        <v>10</v>
      </c>
      <c r="C224" t="inlineStr">
        <is>
          <t>14帖用エアコン</t>
        </is>
      </c>
      <c r="D224" t="inlineStr">
        <is>
          <t>200V</t>
        </is>
      </c>
      <c r="E224" t="n">
        <v>2</v>
      </c>
      <c r="F224" t="inlineStr">
        <is>
          <t>式</t>
        </is>
      </c>
      <c r="K224">
        <f>INDEX('設定'!$G$23:$G$34,B224)</f>
        <v/>
      </c>
      <c r="L224">
        <f>IF(K224&lt;&gt;1,0,IF(OR(A224="T",A224="S",A224="B"),1,IF(AND(OR(I224="",I224&lt;='設定'!$K$2),OR(J224="",ISNUMBER(SEARCH('設定'!$K$3,J224)))),1,0)))</f>
        <v/>
      </c>
      <c r="M224">
        <f>IF(A224&lt;&gt;"I","",IF(G224="",E224,IFERROR(IF(VLOOKUP(G224,'設定'!$A$9:$B$18,2,FALSE)="",E224,ROUND(VLOOKUP(G224,'設定'!$A$9:$B$18,2,FALSE)*H224,2)),E224)))</f>
        <v/>
      </c>
      <c r="N224">
        <f>IF(L224=1,COUNTIF(L$2:L224,1),"")</f>
        <v/>
      </c>
    </row>
    <row r="225">
      <c r="A225" t="inlineStr">
        <is>
          <t>I</t>
        </is>
      </c>
      <c r="B225" t="n">
        <v>10</v>
      </c>
      <c r="C225" t="inlineStr">
        <is>
          <t>架台</t>
        </is>
      </c>
      <c r="E225" t="n">
        <v>3</v>
      </c>
      <c r="F225" t="inlineStr">
        <is>
          <t>台</t>
        </is>
      </c>
      <c r="K225">
        <f>INDEX('設定'!$G$23:$G$34,B225)</f>
        <v/>
      </c>
      <c r="L225">
        <f>IF(K225&lt;&gt;1,0,IF(OR(A225="T",A225="S",A225="B"),1,IF(AND(OR(I225="",I225&lt;='設定'!$K$2),OR(J225="",ISNUMBER(SEARCH('設定'!$K$3,J225)))),1,0)))</f>
        <v/>
      </c>
      <c r="M225">
        <f>IF(A225&lt;&gt;"I","",IF(G225="",E225,IFERROR(IF(VLOOKUP(G225,'設定'!$A$9:$B$18,2,FALSE)="",E225,ROUND(VLOOKUP(G225,'設定'!$A$9:$B$18,2,FALSE)*H225,2)),E225)))</f>
        <v/>
      </c>
      <c r="N225">
        <f>IF(L225=1,COUNTIF(L$2:L225,1),"")</f>
        <v/>
      </c>
    </row>
    <row r="226">
      <c r="A226" t="inlineStr">
        <is>
          <t>I</t>
        </is>
      </c>
      <c r="B226" t="n">
        <v>10</v>
      </c>
      <c r="C226" t="inlineStr">
        <is>
          <t>取付部材</t>
        </is>
      </c>
      <c r="E226" t="n">
        <v>1</v>
      </c>
      <c r="F226" t="inlineStr">
        <is>
          <t>式</t>
        </is>
      </c>
      <c r="K226">
        <f>INDEX('設定'!$G$23:$G$34,B226)</f>
        <v/>
      </c>
      <c r="L226">
        <f>IF(K226&lt;&gt;1,0,IF(OR(A226="T",A226="S",A226="B"),1,IF(AND(OR(I226="",I226&lt;='設定'!$K$2),OR(J226="",ISNUMBER(SEARCH('設定'!$K$3,J226)))),1,0)))</f>
        <v/>
      </c>
      <c r="M226">
        <f>IF(A226&lt;&gt;"I","",IF(G226="",E226,IFERROR(IF(VLOOKUP(G226,'設定'!$A$9:$B$18,2,FALSE)="",E226,ROUND(VLOOKUP(G226,'設定'!$A$9:$B$18,2,FALSE)*H226,2)),E226)))</f>
        <v/>
      </c>
      <c r="N226">
        <f>IF(L226=1,COUNTIF(L$2:L226,1),"")</f>
        <v/>
      </c>
    </row>
    <row r="227">
      <c r="A227" t="inlineStr">
        <is>
          <t>I</t>
        </is>
      </c>
      <c r="B227" t="n">
        <v>10</v>
      </c>
      <c r="C227" t="inlineStr">
        <is>
          <t>ドアホン</t>
        </is>
      </c>
      <c r="E227" t="n">
        <v>1</v>
      </c>
      <c r="F227" t="inlineStr">
        <is>
          <t>式</t>
        </is>
      </c>
      <c r="K227">
        <f>INDEX('設定'!$G$23:$G$34,B227)</f>
        <v/>
      </c>
      <c r="L227">
        <f>IF(K227&lt;&gt;1,0,IF(OR(A227="T",A227="S",A227="B"),1,IF(AND(OR(I227="",I227&lt;='設定'!$K$2),OR(J227="",ISNUMBER(SEARCH('設定'!$K$3,J227)))),1,0)))</f>
        <v/>
      </c>
      <c r="M227">
        <f>IF(A227&lt;&gt;"I","",IF(G227="",E227,IFERROR(IF(VLOOKUP(G227,'設定'!$A$9:$B$18,2,FALSE)="",E227,ROUND(VLOOKUP(G227,'設定'!$A$9:$B$18,2,FALSE)*H227,2)),E227)))</f>
        <v/>
      </c>
      <c r="N227">
        <f>IF(L227=1,COUNTIF(L$2:L227,1),"")</f>
        <v/>
      </c>
    </row>
    <row r="228">
      <c r="A228" t="inlineStr">
        <is>
          <t>I</t>
        </is>
      </c>
      <c r="B228" t="n">
        <v>10</v>
      </c>
      <c r="C228" t="inlineStr">
        <is>
          <t>照明器具</t>
        </is>
      </c>
      <c r="E228" t="n">
        <v>29</v>
      </c>
      <c r="F228" t="inlineStr">
        <is>
          <t>ヶ所</t>
        </is>
      </c>
      <c r="K228">
        <f>INDEX('設定'!$G$23:$G$34,B228)</f>
        <v/>
      </c>
      <c r="L228">
        <f>IF(K228&lt;&gt;1,0,IF(OR(A228="T",A228="S",A228="B"),1,IF(AND(OR(I228="",I228&lt;='設定'!$K$2),OR(J228="",ISNUMBER(SEARCH('設定'!$K$3,J228)))),1,0)))</f>
        <v/>
      </c>
      <c r="M228">
        <f>IF(A228&lt;&gt;"I","",IF(G228="",E228,IFERROR(IF(VLOOKUP(G228,'設定'!$A$9:$B$18,2,FALSE)="",E228,ROUND(VLOOKUP(G228,'設定'!$A$9:$B$18,2,FALSE)*H228,2)),E228)))</f>
        <v/>
      </c>
      <c r="N228">
        <f>IF(L228=1,COUNTIF(L$2:L228,1),"")</f>
        <v/>
      </c>
    </row>
    <row r="229">
      <c r="A229" t="inlineStr">
        <is>
          <t>I</t>
        </is>
      </c>
      <c r="B229" t="n">
        <v>10</v>
      </c>
      <c r="C229" t="inlineStr">
        <is>
          <t>ガス給湯器</t>
        </is>
      </c>
      <c r="D229" t="inlineStr">
        <is>
          <t>リンナイ 24号 フルオート</t>
        </is>
      </c>
      <c r="E229" t="n">
        <v>1</v>
      </c>
      <c r="F229" t="inlineStr">
        <is>
          <t>式</t>
        </is>
      </c>
      <c r="K229">
        <f>INDEX('設定'!$G$23:$G$34,B229)</f>
        <v/>
      </c>
      <c r="L229">
        <f>IF(K229&lt;&gt;1,0,IF(OR(A229="T",A229="S",A229="B"),1,IF(AND(OR(I229="",I229&lt;='設定'!$K$2),OR(J229="",ISNUMBER(SEARCH('設定'!$K$3,J229)))),1,0)))</f>
        <v/>
      </c>
      <c r="M229">
        <f>IF(A229&lt;&gt;"I","",IF(G229="",E229,IFERROR(IF(VLOOKUP(G229,'設定'!$A$9:$B$18,2,FALSE)="",E229,ROUND(VLOOKUP(G229,'設定'!$A$9:$B$18,2,FALSE)*H229,2)),E229)))</f>
        <v/>
      </c>
      <c r="N229">
        <f>IF(L229=1,COUNTIF(L$2:L229,1),"")</f>
        <v/>
      </c>
    </row>
    <row r="230">
      <c r="A230" t="inlineStr">
        <is>
          <t>I</t>
        </is>
      </c>
      <c r="B230" t="n">
        <v>10</v>
      </c>
      <c r="C230" t="inlineStr">
        <is>
          <t>アラウーノ</t>
        </is>
      </c>
      <c r="D230" t="inlineStr">
        <is>
          <t>S160 スティックリモコン</t>
        </is>
      </c>
      <c r="E230" t="n">
        <v>1</v>
      </c>
      <c r="F230" t="inlineStr">
        <is>
          <t>式</t>
        </is>
      </c>
      <c r="K230">
        <f>INDEX('設定'!$G$23:$G$34,B230)</f>
        <v/>
      </c>
      <c r="L230">
        <f>IF(K230&lt;&gt;1,0,IF(OR(A230="T",A230="S",A230="B"),1,IF(AND(OR(I230="",I230&lt;='設定'!$K$2),OR(J230="",ISNUMBER(SEARCH('設定'!$K$3,J230)))),1,0)))</f>
        <v/>
      </c>
      <c r="M230">
        <f>IF(A230&lt;&gt;"I","",IF(G230="",E230,IFERROR(IF(VLOOKUP(G230,'設定'!$A$9:$B$18,2,FALSE)="",E230,ROUND(VLOOKUP(G230,'設定'!$A$9:$B$18,2,FALSE)*H230,2)),E230)))</f>
        <v/>
      </c>
      <c r="N230">
        <f>IF(L230=1,COUNTIF(L$2:L230,1),"")</f>
        <v/>
      </c>
    </row>
    <row r="231">
      <c r="A231" t="inlineStr">
        <is>
          <t>S</t>
        </is>
      </c>
      <c r="B231" t="n">
        <v>10</v>
      </c>
      <c r="C231" t="inlineStr">
        <is>
          <t>小　計</t>
        </is>
      </c>
      <c r="K231">
        <f>INDEX('設定'!$G$23:$G$34,B231)</f>
        <v/>
      </c>
      <c r="L231">
        <f>IF(K231&lt;&gt;1,0,IF(OR(A231="T",A231="S",A231="B"),1,IF(AND(OR(I231="",I231&lt;='設定'!$K$2),OR(J231="",ISNUMBER(SEARCH('設定'!$K$3,J231)))),1,0)))</f>
        <v/>
      </c>
      <c r="M231">
        <f>IF(A231&lt;&gt;"I","",IF(G231="",E231,IFERROR(IF(VLOOKUP(G231,'設定'!$A$9:$B$18,2,FALSE)="",E231,ROUND(VLOOKUP(G231,'設定'!$A$9:$B$18,2,FALSE)*H231,2)),E231)))</f>
        <v/>
      </c>
      <c r="N231">
        <f>IF(L231=1,COUNTIF(L$2:L231,1),"")</f>
        <v/>
      </c>
    </row>
    <row r="232">
      <c r="A232" t="inlineStr">
        <is>
          <t>B</t>
        </is>
      </c>
      <c r="B232" t="n">
        <v>10</v>
      </c>
      <c r="K232">
        <f>INDEX('設定'!$G$23:$G$34,B232)</f>
        <v/>
      </c>
      <c r="L232">
        <f>IF(K232&lt;&gt;1,0,IF(OR(A232="T",A232="S",A232="B"),1,IF(AND(OR(I232="",I232&lt;='設定'!$K$2),OR(J232="",ISNUMBER(SEARCH('設定'!$K$3,J232)))),1,0)))</f>
        <v/>
      </c>
      <c r="M232">
        <f>IF(A232&lt;&gt;"I","",IF(G232="",E232,IFERROR(IF(VLOOKUP(G232,'設定'!$A$9:$B$18,2,FALSE)="",E232,ROUND(VLOOKUP(G232,'設定'!$A$9:$B$18,2,FALSE)*H232,2)),E232)))</f>
        <v/>
      </c>
      <c r="N232">
        <f>IF(L232=1,COUNTIF(L$2:L232,1),"")</f>
        <v/>
      </c>
    </row>
    <row r="233">
      <c r="A233" t="inlineStr">
        <is>
          <t>T</t>
        </is>
      </c>
      <c r="B233" t="n">
        <v>11</v>
      </c>
      <c r="C233" t="inlineStr">
        <is>
          <t>仮設工事</t>
        </is>
      </c>
      <c r="K233">
        <f>INDEX('設定'!$G$23:$G$34,B233)</f>
        <v/>
      </c>
      <c r="L233">
        <f>IF(K233&lt;&gt;1,0,IF(OR(A233="T",A233="S",A233="B"),1,IF(AND(OR(I233="",I233&lt;='設定'!$K$2),OR(J233="",ISNUMBER(SEARCH('設定'!$K$3,J233)))),1,0)))</f>
        <v/>
      </c>
      <c r="M233">
        <f>IF(A233&lt;&gt;"I","",IF(G233="",E233,IFERROR(IF(VLOOKUP(G233,'設定'!$A$9:$B$18,2,FALSE)="",E233,ROUND(VLOOKUP(G233,'設定'!$A$9:$B$18,2,FALSE)*H233,2)),E233)))</f>
        <v/>
      </c>
      <c r="N233">
        <f>IF(L233=1,COUNTIF(L$2:L233,1),"")</f>
        <v/>
      </c>
    </row>
    <row r="234">
      <c r="A234" t="inlineStr">
        <is>
          <t>I</t>
        </is>
      </c>
      <c r="B234" t="n">
        <v>11</v>
      </c>
      <c r="C234" t="inlineStr">
        <is>
          <t>仮設足場組</t>
        </is>
      </c>
      <c r="E234" t="n">
        <v>360</v>
      </c>
      <c r="F234" t="inlineStr">
        <is>
          <t>㎡</t>
        </is>
      </c>
      <c r="G234" t="inlineStr">
        <is>
          <t>scaffold_area</t>
        </is>
      </c>
      <c r="H234" t="n">
        <v>1</v>
      </c>
      <c r="K234">
        <f>INDEX('設定'!$G$23:$G$34,B234)</f>
        <v/>
      </c>
      <c r="L234">
        <f>IF(K234&lt;&gt;1,0,IF(OR(A234="T",A234="S",A234="B"),1,IF(AND(OR(I234="",I234&lt;='設定'!$K$2),OR(J234="",ISNUMBER(SEARCH('設定'!$K$3,J234)))),1,0)))</f>
        <v/>
      </c>
      <c r="M234">
        <f>IF(A234&lt;&gt;"I","",IF(G234="",E234,IFERROR(IF(VLOOKUP(G234,'設定'!$A$9:$B$18,2,FALSE)="",E234,ROUND(VLOOKUP(G234,'設定'!$A$9:$B$18,2,FALSE)*H234,2)),E234)))</f>
        <v/>
      </c>
      <c r="N234">
        <f>IF(L234=1,COUNTIF(L$2:L234,1),"")</f>
        <v/>
      </c>
    </row>
    <row r="235">
      <c r="A235" t="inlineStr">
        <is>
          <t>I</t>
        </is>
      </c>
      <c r="B235" t="n">
        <v>11</v>
      </c>
      <c r="C235" t="inlineStr">
        <is>
          <t>メッシュシート</t>
        </is>
      </c>
      <c r="D235" t="inlineStr">
        <is>
          <t>〃</t>
        </is>
      </c>
      <c r="E235" t="n">
        <v>360</v>
      </c>
      <c r="F235" t="inlineStr">
        <is>
          <t>㎡</t>
        </is>
      </c>
      <c r="G235" t="inlineStr">
        <is>
          <t>scaffold_area</t>
        </is>
      </c>
      <c r="H235" t="n">
        <v>1</v>
      </c>
      <c r="K235">
        <f>INDEX('設定'!$G$23:$G$34,B235)</f>
        <v/>
      </c>
      <c r="L235">
        <f>IF(K235&lt;&gt;1,0,IF(OR(A235="T",A235="S",A235="B"),1,IF(AND(OR(I235="",I235&lt;='設定'!$K$2),OR(J235="",ISNUMBER(SEARCH('設定'!$K$3,J235)))),1,0)))</f>
        <v/>
      </c>
      <c r="M235">
        <f>IF(A235&lt;&gt;"I","",IF(G235="",E235,IFERROR(IF(VLOOKUP(G235,'設定'!$A$9:$B$18,2,FALSE)="",E235,ROUND(VLOOKUP(G235,'設定'!$A$9:$B$18,2,FALSE)*H235,2)),E235)))</f>
        <v/>
      </c>
      <c r="N235">
        <f>IF(L235=1,COUNTIF(L$2:L235,1),"")</f>
        <v/>
      </c>
    </row>
    <row r="236">
      <c r="A236" t="inlineStr">
        <is>
          <t>I</t>
        </is>
      </c>
      <c r="B236" t="n">
        <v>11</v>
      </c>
      <c r="C236" t="inlineStr">
        <is>
          <t>昇降階段</t>
        </is>
      </c>
      <c r="E236" t="n">
        <v>1</v>
      </c>
      <c r="F236" t="inlineStr">
        <is>
          <t>式</t>
        </is>
      </c>
      <c r="K236">
        <f>INDEX('設定'!$G$23:$G$34,B236)</f>
        <v/>
      </c>
      <c r="L236">
        <f>IF(K236&lt;&gt;1,0,IF(OR(A236="T",A236="S",A236="B"),1,IF(AND(OR(I236="",I236&lt;='設定'!$K$2),OR(J236="",ISNUMBER(SEARCH('設定'!$K$3,J236)))),1,0)))</f>
        <v/>
      </c>
      <c r="M236">
        <f>IF(A236&lt;&gt;"I","",IF(G236="",E236,IFERROR(IF(VLOOKUP(G236,'設定'!$A$9:$B$18,2,FALSE)="",E236,ROUND(VLOOKUP(G236,'設定'!$A$9:$B$18,2,FALSE)*H236,2)),E236)))</f>
        <v/>
      </c>
      <c r="N236">
        <f>IF(L236=1,COUNTIF(L$2:L236,1),"")</f>
        <v/>
      </c>
    </row>
    <row r="237">
      <c r="A237" t="inlineStr">
        <is>
          <t>I</t>
        </is>
      </c>
      <c r="B237" t="n">
        <v>11</v>
      </c>
      <c r="C237" t="inlineStr">
        <is>
          <t>道路使用許可申請費</t>
        </is>
      </c>
      <c r="E237" t="n">
        <v>1</v>
      </c>
      <c r="F237" t="inlineStr">
        <is>
          <t>式</t>
        </is>
      </c>
      <c r="K237">
        <f>INDEX('設定'!$G$23:$G$34,B237)</f>
        <v/>
      </c>
      <c r="L237">
        <f>IF(K237&lt;&gt;1,0,IF(OR(A237="T",A237="S",A237="B"),1,IF(AND(OR(I237="",I237&lt;='設定'!$K$2),OR(J237="",ISNUMBER(SEARCH('設定'!$K$3,J237)))),1,0)))</f>
        <v/>
      </c>
      <c r="M237">
        <f>IF(A237&lt;&gt;"I","",IF(G237="",E237,IFERROR(IF(VLOOKUP(G237,'設定'!$A$9:$B$18,2,FALSE)="",E237,ROUND(VLOOKUP(G237,'設定'!$A$9:$B$18,2,FALSE)*H237,2)),E237)))</f>
        <v/>
      </c>
      <c r="N237">
        <f>IF(L237=1,COUNTIF(L$2:L237,1),"")</f>
        <v/>
      </c>
    </row>
    <row r="238">
      <c r="A238" t="inlineStr">
        <is>
          <t>I</t>
        </is>
      </c>
      <c r="B238" t="n">
        <v>11</v>
      </c>
      <c r="C238" t="inlineStr">
        <is>
          <t>仮設トイレ</t>
        </is>
      </c>
      <c r="E238" t="n">
        <v>1</v>
      </c>
      <c r="F238" t="inlineStr">
        <is>
          <t>式</t>
        </is>
      </c>
      <c r="K238">
        <f>INDEX('設定'!$G$23:$G$34,B238)</f>
        <v/>
      </c>
      <c r="L238">
        <f>IF(K238&lt;&gt;1,0,IF(OR(A238="T",A238="S",A238="B"),1,IF(AND(OR(I238="",I238&lt;='設定'!$K$2),OR(J238="",ISNUMBER(SEARCH('設定'!$K$3,J238)))),1,0)))</f>
        <v/>
      </c>
      <c r="M238">
        <f>IF(A238&lt;&gt;"I","",IF(G238="",E238,IFERROR(IF(VLOOKUP(G238,'設定'!$A$9:$B$18,2,FALSE)="",E238,ROUND(VLOOKUP(G238,'設定'!$A$9:$B$18,2,FALSE)*H238,2)),E238)))</f>
        <v/>
      </c>
      <c r="N238">
        <f>IF(L238=1,COUNTIF(L$2:L238,1),"")</f>
        <v/>
      </c>
    </row>
    <row r="239">
      <c r="A239" t="inlineStr">
        <is>
          <t>I</t>
        </is>
      </c>
      <c r="B239" t="n">
        <v>11</v>
      </c>
      <c r="C239" t="inlineStr">
        <is>
          <t>養生清掃費</t>
        </is>
      </c>
      <c r="E239" t="n">
        <v>122</v>
      </c>
      <c r="F239" t="inlineStr">
        <is>
          <t>㎡</t>
        </is>
      </c>
      <c r="G239" t="inlineStr">
        <is>
          <t>total_area</t>
        </is>
      </c>
      <c r="H239" t="n">
        <v>1</v>
      </c>
      <c r="K239">
        <f>INDEX('設定'!$G$23:$G$34,B239)</f>
        <v/>
      </c>
      <c r="L239">
        <f>IF(K239&lt;&gt;1,0,IF(OR(A239="T",A239="S",A239="B"),1,IF(AND(OR(I239="",I239&lt;='設定'!$K$2),OR(J239="",ISNUMBER(SEARCH('設定'!$K$3,J239)))),1,0)))</f>
        <v/>
      </c>
      <c r="M239">
        <f>IF(A239&lt;&gt;"I","",IF(G239="",E239,IFERROR(IF(VLOOKUP(G239,'設定'!$A$9:$B$18,2,FALSE)="",E239,ROUND(VLOOKUP(G239,'設定'!$A$9:$B$18,2,FALSE)*H239,2)),E239)))</f>
        <v/>
      </c>
      <c r="N239">
        <f>IF(L239=1,COUNTIF(L$2:L239,1),"")</f>
        <v/>
      </c>
    </row>
    <row r="240">
      <c r="A240" t="inlineStr">
        <is>
          <t>I</t>
        </is>
      </c>
      <c r="B240" t="n">
        <v>11</v>
      </c>
      <c r="C240" t="inlineStr">
        <is>
          <t>クリーニング</t>
        </is>
      </c>
      <c r="E240" t="n">
        <v>122</v>
      </c>
      <c r="F240" t="inlineStr">
        <is>
          <t>㎡</t>
        </is>
      </c>
      <c r="G240" t="inlineStr">
        <is>
          <t>total_area</t>
        </is>
      </c>
      <c r="H240" t="n">
        <v>1</v>
      </c>
      <c r="K240">
        <f>INDEX('設定'!$G$23:$G$34,B240)</f>
        <v/>
      </c>
      <c r="L240">
        <f>IF(K240&lt;&gt;1,0,IF(OR(A240="T",A240="S",A240="B"),1,IF(AND(OR(I240="",I240&lt;='設定'!$K$2),OR(J240="",ISNUMBER(SEARCH('設定'!$K$3,J240)))),1,0)))</f>
        <v/>
      </c>
      <c r="M240">
        <f>IF(A240&lt;&gt;"I","",IF(G240="",E240,IFERROR(IF(VLOOKUP(G240,'設定'!$A$9:$B$18,2,FALSE)="",E240,ROUND(VLOOKUP(G240,'設定'!$A$9:$B$18,2,FALSE)*H240,2)),E240)))</f>
        <v/>
      </c>
      <c r="N240">
        <f>IF(L240=1,COUNTIF(L$2:L240,1),"")</f>
        <v/>
      </c>
    </row>
    <row r="241">
      <c r="A241" t="inlineStr">
        <is>
          <t>S</t>
        </is>
      </c>
      <c r="B241" t="n">
        <v>11</v>
      </c>
      <c r="C241" t="inlineStr">
        <is>
          <t>小　計</t>
        </is>
      </c>
      <c r="K241">
        <f>INDEX('設定'!$G$23:$G$34,B241)</f>
        <v/>
      </c>
      <c r="L241">
        <f>IF(K241&lt;&gt;1,0,IF(OR(A241="T",A241="S",A241="B"),1,IF(AND(OR(I241="",I241&lt;='設定'!$K$2),OR(J241="",ISNUMBER(SEARCH('設定'!$K$3,J241)))),1,0)))</f>
        <v/>
      </c>
      <c r="M241">
        <f>IF(A241&lt;&gt;"I","",IF(G241="",E241,IFERROR(IF(VLOOKUP(G241,'設定'!$A$9:$B$18,2,FALSE)="",E241,ROUND(VLOOKUP(G241,'設定'!$A$9:$B$18,2,FALSE)*H241,2)),E241)))</f>
        <v/>
      </c>
      <c r="N241">
        <f>IF(L241=1,COUNTIF(L$2:L241,1),"")</f>
        <v/>
      </c>
    </row>
    <row r="242">
      <c r="A242" t="inlineStr">
        <is>
          <t>B</t>
        </is>
      </c>
      <c r="B242" t="n">
        <v>11</v>
      </c>
      <c r="K242">
        <f>INDEX('設定'!$G$23:$G$34,B242)</f>
        <v/>
      </c>
      <c r="L242">
        <f>IF(K242&lt;&gt;1,0,IF(OR(A242="T",A242="S",A242="B"),1,IF(AND(OR(I242="",I242&lt;='設定'!$K$2),OR(J242="",ISNUMBER(SEARCH('設定'!$K$3,J242)))),1,0)))</f>
        <v/>
      </c>
      <c r="M242">
        <f>IF(A242&lt;&gt;"I","",IF(G242="",E242,IFERROR(IF(VLOOKUP(G242,'設定'!$A$9:$B$18,2,FALSE)="",E242,ROUND(VLOOKUP(G242,'設定'!$A$9:$B$18,2,FALSE)*H242,2)),E242)))</f>
        <v/>
      </c>
      <c r="N242">
        <f>IF(L242=1,COUNTIF(L$2:L242,1),"")</f>
        <v/>
      </c>
    </row>
    <row r="243">
      <c r="A243" t="inlineStr">
        <is>
          <t>T</t>
        </is>
      </c>
      <c r="B243" t="n">
        <v>12</v>
      </c>
      <c r="C243" t="inlineStr">
        <is>
          <t>諸経費</t>
        </is>
      </c>
      <c r="K243">
        <f>INDEX('設定'!$G$23:$G$34,B243)</f>
        <v/>
      </c>
      <c r="L243">
        <f>IF(K243&lt;&gt;1,0,IF(OR(A243="T",A243="S",A243="B"),1,IF(AND(OR(I243="",I243&lt;='設定'!$K$2),OR(J243="",ISNUMBER(SEARCH('設定'!$K$3,J243)))),1,0)))</f>
        <v/>
      </c>
      <c r="M243">
        <f>IF(A243&lt;&gt;"I","",IF(G243="",E243,IFERROR(IF(VLOOKUP(G243,'設定'!$A$9:$B$18,2,FALSE)="",E243,ROUND(VLOOKUP(G243,'設定'!$A$9:$B$18,2,FALSE)*H243,2)),E243)))</f>
        <v/>
      </c>
      <c r="N243">
        <f>IF(L243=1,COUNTIF(L$2:L243,1),"")</f>
        <v/>
      </c>
    </row>
    <row r="244">
      <c r="A244" t="inlineStr">
        <is>
          <t>I</t>
        </is>
      </c>
      <c r="B244" t="n">
        <v>12</v>
      </c>
      <c r="C244" t="inlineStr">
        <is>
          <t>諸経費</t>
        </is>
      </c>
      <c r="E244" t="n">
        <v>1</v>
      </c>
      <c r="F244" t="inlineStr">
        <is>
          <t>式</t>
        </is>
      </c>
      <c r="K244">
        <f>INDEX('設定'!$G$23:$G$34,B244)</f>
        <v/>
      </c>
      <c r="L244">
        <f>IF(K244&lt;&gt;1,0,IF(OR(A244="T",A244="S",A244="B"),1,IF(AND(OR(I244="",I244&lt;='設定'!$K$2),OR(J244="",ISNUMBER(SEARCH('設定'!$K$3,J244)))),1,0)))</f>
        <v/>
      </c>
      <c r="M244">
        <f>IF(A244&lt;&gt;"I","",IF(G244="",E244,IFERROR(IF(VLOOKUP(G244,'設定'!$A$9:$B$18,2,FALSE)="",E244,ROUND(VLOOKUP(G244,'設定'!$A$9:$B$18,2,FALSE)*H244,2)),E244)))</f>
        <v/>
      </c>
      <c r="N244">
        <f>IF(L244=1,COUNTIF(L$2:L244,1),"")</f>
        <v/>
      </c>
    </row>
    <row r="245">
      <c r="A245" t="inlineStr">
        <is>
          <t>S</t>
        </is>
      </c>
      <c r="B245" t="n">
        <v>12</v>
      </c>
      <c r="C245" t="inlineStr">
        <is>
          <t>小　計</t>
        </is>
      </c>
      <c r="K245">
        <f>INDEX('設定'!$G$23:$G$34,B245)</f>
        <v/>
      </c>
      <c r="L245">
        <f>IF(K245&lt;&gt;1,0,IF(OR(A245="T",A245="S",A245="B"),1,IF(AND(OR(I245="",I245&lt;='設定'!$K$2),OR(J245="",ISNUMBER(SEARCH('設定'!$K$3,J245)))),1,0)))</f>
        <v/>
      </c>
      <c r="M245">
        <f>IF(A245&lt;&gt;"I","",IF(G245="",E245,IFERROR(IF(VLOOKUP(G245,'設定'!$A$9:$B$18,2,FALSE)="",E245,ROUND(VLOOKUP(G245,'設定'!$A$9:$B$18,2,FALSE)*H245,2)),E245)))</f>
        <v/>
      </c>
      <c r="N245">
        <f>IF(L245=1,COUNTIF(L$2:L245,1),"")</f>
        <v/>
      </c>
    </row>
    <row r="246">
      <c r="A246" t="inlineStr">
        <is>
          <t>B</t>
        </is>
      </c>
      <c r="B246" t="n">
        <v>12</v>
      </c>
      <c r="K246">
        <f>INDEX('設定'!$G$23:$G$34,B246)</f>
        <v/>
      </c>
      <c r="L246">
        <f>IF(K246&lt;&gt;1,0,IF(OR(A246="T",A246="S",A246="B"),1,IF(AND(OR(I246="",I246&lt;='設定'!$K$2),OR(J246="",ISNUMBER(SEARCH('設定'!$K$3,J246)))),1,0)))</f>
        <v/>
      </c>
      <c r="M246">
        <f>IF(A246&lt;&gt;"I","",IF(G246="",E246,IFERROR(IF(VLOOKUP(G246,'設定'!$A$9:$B$18,2,FALSE)="",E246,ROUND(VLOOKUP(G246,'設定'!$A$9:$B$18,2,FALSE)*H246,2)),E246)))</f>
        <v/>
      </c>
      <c r="N246">
        <f>IF(L246=1,COUNTIF(L$2:L246,1),"")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9999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10" max="10"/>
    <col width="14" customWidth="1" min="11" max="11"/>
  </cols>
  <sheetData>
    <row r="1">
      <c r="A1" s="8" t="inlineStr">
        <is>
          <t>構造</t>
        </is>
      </c>
      <c r="B1" s="8" t="inlineStr">
        <is>
          <t>キー</t>
        </is>
      </c>
      <c r="C1" s="8" t="n"/>
      <c r="D1" s="8" t="inlineStr">
        <is>
          <t>階数</t>
        </is>
      </c>
      <c r="E1" s="8" t="inlineStr">
        <is>
          <t>数値</t>
        </is>
      </c>
      <c r="F1" s="8" t="n"/>
      <c r="G1" s="8" t="inlineStr">
        <is>
          <t>工事タイプ</t>
        </is>
      </c>
      <c r="H1" s="8" t="n"/>
      <c r="J1" t="inlineStr">
        <is>
          <t>自動計算</t>
        </is>
      </c>
      <c r="K1" t="inlineStr">
        <is>
          <t>値</t>
        </is>
      </c>
    </row>
    <row r="2">
      <c r="A2" t="inlineStr">
        <is>
          <t>木造</t>
        </is>
      </c>
      <c r="B2" t="inlineStr">
        <is>
          <t>wood</t>
        </is>
      </c>
      <c r="D2" t="inlineStr">
        <is>
          <t>平屋</t>
        </is>
      </c>
      <c r="E2" t="n">
        <v>1</v>
      </c>
      <c r="G2" t="inlineStr">
        <is>
          <t>フルリノベーション</t>
        </is>
      </c>
      <c r="J2" t="inlineStr">
        <is>
          <t>階数(数値)</t>
        </is>
      </c>
      <c r="K2">
        <f>MATCH('入力'!B17,$D$2:$D$4,0)</f>
        <v/>
      </c>
    </row>
    <row r="3">
      <c r="A3" t="inlineStr">
        <is>
          <t>鉄骨造</t>
        </is>
      </c>
      <c r="B3" t="inlineStr">
        <is>
          <t>steel</t>
        </is>
      </c>
      <c r="D3" t="inlineStr">
        <is>
          <t>2階建て</t>
        </is>
      </c>
      <c r="E3" t="n">
        <v>2</v>
      </c>
      <c r="G3" t="inlineStr">
        <is>
          <t>水回りリフォーム</t>
        </is>
      </c>
      <c r="J3" t="inlineStr">
        <is>
          <t>構造キー</t>
        </is>
      </c>
      <c r="K3">
        <f>INDEX($B$2:$B$4,MATCH('入力'!B16,$A$2:$A$4,0))</f>
        <v/>
      </c>
    </row>
    <row r="4">
      <c r="A4" t="inlineStr">
        <is>
          <t>RC造</t>
        </is>
      </c>
      <c r="B4" t="inlineStr">
        <is>
          <t>rc</t>
        </is>
      </c>
      <c r="D4" t="inlineStr">
        <is>
          <t>3階建て</t>
        </is>
      </c>
      <c r="E4" t="n">
        <v>3</v>
      </c>
      <c r="G4" t="inlineStr">
        <is>
          <t>内装リフォーム</t>
        </is>
      </c>
      <c r="J4" t="inlineStr">
        <is>
          <t>延床面積(㎡)</t>
        </is>
      </c>
      <c r="K4">
        <f>IF(AND('入力'!B21="",IF(K2&gt;=2,'入力'!B22,"")="",IF(K2&gt;=3,'入力'!B23,"")=""),"",N('入力'!B21)+IF(K2&gt;=2,N('入力'!B22),0)+IF(K2&gt;=3,N('入力'!B23),0))</f>
        <v/>
      </c>
    </row>
    <row r="5">
      <c r="G5" t="inlineStr">
        <is>
          <t>外装リフォーム</t>
        </is>
      </c>
      <c r="J5" t="inlineStr">
        <is>
          <t>延床面積(坪)</t>
        </is>
      </c>
      <c r="K5">
        <f>IF(K4="","",ROUND(K4/3.30579,2))</f>
        <v/>
      </c>
    </row>
    <row r="6">
      <c r="J6" t="inlineStr">
        <is>
          <t>足場面積</t>
        </is>
      </c>
      <c r="K6">
        <f>IF('入力'!B26&lt;&gt;"",'入力'!B26,IF('入力'!B25&lt;&gt;"",'入力'!B25,""))</f>
        <v/>
      </c>
    </row>
    <row r="7">
      <c r="J7" t="inlineStr">
        <is>
          <t>工事タイプ番号</t>
        </is>
      </c>
      <c r="K7">
        <f>MATCH('入力'!B18,$G$2:$G$5,0)</f>
        <v/>
      </c>
    </row>
    <row r="8">
      <c r="A8" s="8" t="inlineStr">
        <is>
          <t>基準キー</t>
        </is>
      </c>
      <c r="B8" s="8" t="inlineStr">
        <is>
          <t>値（入力シートから自動）</t>
        </is>
      </c>
      <c r="C8" s="8" t="n"/>
      <c r="D8" s="8" t="n"/>
      <c r="E8" s="8" t="n"/>
      <c r="F8" s="8" t="n"/>
      <c r="G8" s="8" t="n"/>
      <c r="H8" s="8" t="n"/>
    </row>
    <row r="9">
      <c r="A9" t="inlineStr">
        <is>
          <t>floor1_area</t>
        </is>
      </c>
      <c r="B9">
        <f>IF('入力'!B21="","",'入力'!B21)</f>
        <v/>
      </c>
    </row>
    <row r="10">
      <c r="A10" t="inlineStr">
        <is>
          <t>floor2_area</t>
        </is>
      </c>
      <c r="B10">
        <f>IF(AND(K2&gt;=2,'入力'!B22&lt;&gt;""),'入力'!B22,"")</f>
        <v/>
      </c>
    </row>
    <row r="11">
      <c r="A11" t="inlineStr">
        <is>
          <t>floor3_area</t>
        </is>
      </c>
      <c r="B11">
        <f>IF(AND(K2&gt;=3,'入力'!B23&lt;&gt;""),'入力'!B23,"")</f>
        <v/>
      </c>
    </row>
    <row r="12">
      <c r="A12" t="inlineStr">
        <is>
          <t>total_area</t>
        </is>
      </c>
      <c r="B12">
        <f>K4</f>
        <v/>
      </c>
    </row>
    <row r="13">
      <c r="A13" t="inlineStr">
        <is>
          <t>tsubo</t>
        </is>
      </c>
      <c r="B13">
        <f>K5</f>
        <v/>
      </c>
    </row>
    <row r="14">
      <c r="A14" t="inlineStr">
        <is>
          <t>roof_area</t>
        </is>
      </c>
      <c r="B14">
        <f>IF('入力'!B24="","",'入力'!B24)</f>
        <v/>
      </c>
    </row>
    <row r="15">
      <c r="A15" t="inlineStr">
        <is>
          <t>wall_area</t>
        </is>
      </c>
      <c r="B15">
        <f>IF('入力'!B25="","",'入力'!B25)</f>
        <v/>
      </c>
    </row>
    <row r="16">
      <c r="A16" t="inlineStr">
        <is>
          <t>scaffold_area</t>
        </is>
      </c>
      <c r="B16">
        <f>K6</f>
        <v/>
      </c>
    </row>
    <row r="17">
      <c r="A17" t="inlineStr">
        <is>
          <t>toilet_count</t>
        </is>
      </c>
      <c r="B17">
        <f>IF('入力'!B27="","",'入力'!B27)</f>
        <v/>
      </c>
    </row>
    <row r="18">
      <c r="A18" t="inlineStr">
        <is>
          <t>cloth_len</t>
        </is>
      </c>
      <c r="B18">
        <f>IF('入力'!B28="","",'入力'!B28)</f>
        <v/>
      </c>
    </row>
    <row r="22">
      <c r="A22" s="8" t="inlineStr">
        <is>
          <t>工事ID</t>
        </is>
      </c>
      <c r="B22" s="8" t="inlineStr">
        <is>
          <t>工事名</t>
        </is>
      </c>
      <c r="C22" s="8" t="inlineStr">
        <is>
          <t>フルリノベーション</t>
        </is>
      </c>
      <c r="D22" s="8" t="inlineStr">
        <is>
          <t>水回りリフォーム</t>
        </is>
      </c>
      <c r="E22" s="8" t="inlineStr">
        <is>
          <t>内装リフォーム</t>
        </is>
      </c>
      <c r="F22" s="8" t="inlineStr">
        <is>
          <t>外装リフォーム</t>
        </is>
      </c>
      <c r="G22" s="8" t="inlineStr">
        <is>
          <t>採用</t>
        </is>
      </c>
      <c r="H22" s="8" t="inlineStr">
        <is>
          <t>採用連番</t>
        </is>
      </c>
    </row>
    <row r="23">
      <c r="A23" t="n">
        <v>1</v>
      </c>
      <c r="B23" t="inlineStr">
        <is>
          <t>解体工事</t>
        </is>
      </c>
      <c r="C23" t="n">
        <v>1</v>
      </c>
      <c r="D23" t="n">
        <v>1</v>
      </c>
      <c r="E23" t="n">
        <v>1</v>
      </c>
      <c r="F23" t="n">
        <v>0</v>
      </c>
      <c r="G23">
        <f>IF('入力'!C33="○",1,IF('入力'!C33="×",0,IF(INDEX(C23:F23,$K$7)=1,1,0)))</f>
        <v/>
      </c>
      <c r="H23">
        <f>IF(G23=1,COUNTIF(G$23:G23,1),"")</f>
        <v/>
      </c>
    </row>
    <row r="24">
      <c r="A24" t="n">
        <v>2</v>
      </c>
      <c r="B24" t="inlineStr">
        <is>
          <t>基礎工事</t>
        </is>
      </c>
      <c r="C24" t="n">
        <v>1</v>
      </c>
      <c r="D24" t="n">
        <v>0</v>
      </c>
      <c r="E24" t="n">
        <v>0</v>
      </c>
      <c r="F24" t="n">
        <v>0</v>
      </c>
      <c r="G24">
        <f>IF('入力'!C34="○",1,IF('入力'!C34="×",0,IF(INDEX(C24:F24,$K$7)=1,1,0)))</f>
        <v/>
      </c>
      <c r="H24">
        <f>IF(G24=1,COUNTIF(G$23:G24,1),"")</f>
        <v/>
      </c>
    </row>
    <row r="25">
      <c r="A25" t="n">
        <v>3</v>
      </c>
      <c r="B25" t="inlineStr">
        <is>
          <t>木工事</t>
        </is>
      </c>
      <c r="C25" t="n">
        <v>1</v>
      </c>
      <c r="D25" t="n">
        <v>0</v>
      </c>
      <c r="E25" t="n">
        <v>1</v>
      </c>
      <c r="F25" t="n">
        <v>0</v>
      </c>
      <c r="G25">
        <f>IF('入力'!C35="○",1,IF('入力'!C35="×",0,IF(INDEX(C25:F25,$K$7)=1,1,0)))</f>
        <v/>
      </c>
      <c r="H25">
        <f>IF(G25=1,COUNTIF(G$23:G25,1),"")</f>
        <v/>
      </c>
    </row>
    <row r="26">
      <c r="A26" t="n">
        <v>4</v>
      </c>
      <c r="B26" t="inlineStr">
        <is>
          <t>屋根板金工事</t>
        </is>
      </c>
      <c r="C26" t="n">
        <v>1</v>
      </c>
      <c r="D26" t="n">
        <v>0</v>
      </c>
      <c r="E26" t="n">
        <v>0</v>
      </c>
      <c r="F26" t="n">
        <v>1</v>
      </c>
      <c r="G26">
        <f>IF('入力'!C36="○",1,IF('入力'!C36="×",0,IF(INDEX(C26:F26,$K$7)=1,1,0)))</f>
        <v/>
      </c>
      <c r="H26">
        <f>IF(G26=1,COUNTIF(G$23:G26,1),"")</f>
        <v/>
      </c>
    </row>
    <row r="27">
      <c r="A27" t="n">
        <v>5</v>
      </c>
      <c r="B27" t="inlineStr">
        <is>
          <t>内外装工事</t>
        </is>
      </c>
      <c r="C27" t="n">
        <v>1</v>
      </c>
      <c r="D27" t="n">
        <v>0</v>
      </c>
      <c r="E27" t="n">
        <v>1</v>
      </c>
      <c r="F27" t="n">
        <v>1</v>
      </c>
      <c r="G27">
        <f>IF('入力'!C37="○",1,IF('入力'!C37="×",0,IF(INDEX(C27:F27,$K$7)=1,1,0)))</f>
        <v/>
      </c>
      <c r="H27">
        <f>IF(G27=1,COUNTIF(G$23:G27,1),"")</f>
        <v/>
      </c>
    </row>
    <row r="28">
      <c r="A28" t="n">
        <v>6</v>
      </c>
      <c r="B28" t="inlineStr">
        <is>
          <t>鋼製建具工事</t>
        </is>
      </c>
      <c r="C28" t="n">
        <v>1</v>
      </c>
      <c r="D28" t="n">
        <v>0</v>
      </c>
      <c r="E28" t="n">
        <v>0</v>
      </c>
      <c r="F28" t="n">
        <v>0</v>
      </c>
      <c r="G28">
        <f>IF('入力'!C38="○",1,IF('入力'!C38="×",0,IF(INDEX(C28:F28,$K$7)=1,1,0)))</f>
        <v/>
      </c>
      <c r="H28">
        <f>IF(G28=1,COUNTIF(G$23:G28,1),"")</f>
        <v/>
      </c>
    </row>
    <row r="29">
      <c r="A29" t="n">
        <v>7</v>
      </c>
      <c r="B29" t="inlineStr">
        <is>
          <t>塗装工事</t>
        </is>
      </c>
      <c r="C29" t="n">
        <v>1</v>
      </c>
      <c r="D29" t="n">
        <v>0</v>
      </c>
      <c r="E29" t="n">
        <v>1</v>
      </c>
      <c r="F29" t="n">
        <v>1</v>
      </c>
      <c r="G29">
        <f>IF('入力'!C39="○",1,IF('入力'!C39="×",0,IF(INDEX(C29:F29,$K$7)=1,1,0)))</f>
        <v/>
      </c>
      <c r="H29">
        <f>IF(G29=1,COUNTIF(G$23:G29,1),"")</f>
        <v/>
      </c>
    </row>
    <row r="30">
      <c r="A30" t="n">
        <v>8</v>
      </c>
      <c r="B30" t="inlineStr">
        <is>
          <t>電気設備工事</t>
        </is>
      </c>
      <c r="C30" t="n">
        <v>1</v>
      </c>
      <c r="D30" t="n">
        <v>1</v>
      </c>
      <c r="E30" t="n">
        <v>1</v>
      </c>
      <c r="F30" t="n">
        <v>0</v>
      </c>
      <c r="G30">
        <f>IF('入力'!C40="○",1,IF('入力'!C40="×",0,IF(INDEX(C30:F30,$K$7)=1,1,0)))</f>
        <v/>
      </c>
      <c r="H30">
        <f>IF(G30=1,COUNTIF(G$23:G30,1),"")</f>
        <v/>
      </c>
    </row>
    <row r="31">
      <c r="A31" t="n">
        <v>9</v>
      </c>
      <c r="B31" t="inlineStr">
        <is>
          <t>給排水設備工事</t>
        </is>
      </c>
      <c r="C31" t="n">
        <v>1</v>
      </c>
      <c r="D31" t="n">
        <v>1</v>
      </c>
      <c r="E31" t="n">
        <v>0</v>
      </c>
      <c r="F31" t="n">
        <v>0</v>
      </c>
      <c r="G31">
        <f>IF('入力'!C41="○",1,IF('入力'!C41="×",0,IF(INDEX(C31:F31,$K$7)=1,1,0)))</f>
        <v/>
      </c>
      <c r="H31">
        <f>IF(G31=1,COUNTIF(G$23:G31,1),"")</f>
        <v/>
      </c>
    </row>
    <row r="32">
      <c r="A32" t="n">
        <v>10</v>
      </c>
      <c r="B32" t="inlineStr">
        <is>
          <t>住宅設備工事</t>
        </is>
      </c>
      <c r="C32" t="n">
        <v>1</v>
      </c>
      <c r="D32" t="n">
        <v>1</v>
      </c>
      <c r="E32" t="n">
        <v>0</v>
      </c>
      <c r="F32" t="n">
        <v>0</v>
      </c>
      <c r="G32">
        <f>IF('入力'!C42="○",1,IF('入力'!C42="×",0,IF(INDEX(C32:F32,$K$7)=1,1,0)))</f>
        <v/>
      </c>
      <c r="H32">
        <f>IF(G32=1,COUNTIF(G$23:G32,1),"")</f>
        <v/>
      </c>
    </row>
    <row r="33">
      <c r="A33" t="n">
        <v>11</v>
      </c>
      <c r="B33" t="inlineStr">
        <is>
          <t>仮設工事</t>
        </is>
      </c>
      <c r="C33" t="n">
        <v>1</v>
      </c>
      <c r="D33" t="n">
        <v>1</v>
      </c>
      <c r="E33" t="n">
        <v>1</v>
      </c>
      <c r="F33" t="n">
        <v>1</v>
      </c>
      <c r="G33">
        <f>IF('入力'!C43="○",1,IF('入力'!C43="×",0,IF(INDEX(C33:F33,$K$7)=1,1,0)))</f>
        <v/>
      </c>
      <c r="H33">
        <f>IF(G33=1,COUNTIF(G$23:G33,1),"")</f>
        <v/>
      </c>
    </row>
    <row r="34">
      <c r="A34" t="n">
        <v>12</v>
      </c>
      <c r="B34" t="inlineStr">
        <is>
          <t>諸経費</t>
        </is>
      </c>
      <c r="C34" t="n">
        <v>1</v>
      </c>
      <c r="D34" t="n">
        <v>1</v>
      </c>
      <c r="E34" t="n">
        <v>1</v>
      </c>
      <c r="F34" t="n">
        <v>1</v>
      </c>
      <c r="G34">
        <f>IF('入力'!C44="○",1,IF('入力'!C44="×",0,IF(INDEX(C34:F34,$K$7)=1,1,0)))</f>
        <v/>
      </c>
      <c r="H34">
        <f>IF(G34=1,COUNTIF(G$23:G34,1),"")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2026-10-26T12:19:36Z</dcterms:created>
  <dcterms:modified xmlns:dcterms="http://purl.org/dc/terms/" xmlns:xsi="http://www.w3.org/2001/XMLSchema-instance" xsi:type="dcterms:W3CDTF">2026-10-26T12:19:36Z</dcterms:modified>
</cp:coreProperties>
</file>